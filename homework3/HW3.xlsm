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ssauru-my.sharepoint.com/personal/2019-01500_students_ssau_ru/Documents/UNI/МСС/"/>
    </mc:Choice>
  </mc:AlternateContent>
  <xr:revisionPtr revIDLastSave="6" documentId="8_{0796D288-76CE-4FE9-916B-B8EB8E18461D}" xr6:coauthVersionLast="47" xr6:coauthVersionMax="47" xr10:uidLastSave="{A5159156-BC34-40CA-BF2B-D5604993202F}"/>
  <bookViews>
    <workbookView xWindow="-120" yWindow="-120" windowWidth="29040" windowHeight="15840" activeTab="1" xr2:uid="{310D192E-87DB-49B2-B55C-EB1FE60213C9}"/>
  </bookViews>
  <sheets>
    <sheet name="Явная схема" sheetId="1" r:id="rId1"/>
    <sheet name="Неявная схема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9" i="2" l="1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C17" i="2"/>
  <c r="C16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C15" i="2"/>
  <c r="AJ13" i="2"/>
  <c r="F13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C5" i="2"/>
  <c r="C4" i="2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AJ13" i="1"/>
  <c r="F13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C5" i="1"/>
  <c r="C4" i="1"/>
</calcChain>
</file>

<file path=xl/sharedStrings.xml><?xml version="1.0" encoding="utf-8"?>
<sst xmlns="http://schemas.openxmlformats.org/spreadsheetml/2006/main" count="30" uniqueCount="18">
  <si>
    <t>L</t>
  </si>
  <si>
    <t>dx</t>
  </si>
  <si>
    <t>t</t>
  </si>
  <si>
    <t>dt</t>
  </si>
  <si>
    <t xml:space="preserve"> L</t>
  </si>
  <si>
    <t>Cp</t>
  </si>
  <si>
    <t>r0</t>
  </si>
  <si>
    <t>lamda</t>
  </si>
  <si>
    <t>T_end</t>
  </si>
  <si>
    <t>T</t>
  </si>
  <si>
    <t>T_iter</t>
  </si>
  <si>
    <t>A</t>
  </si>
  <si>
    <t>B</t>
  </si>
  <si>
    <t>C</t>
  </si>
  <si>
    <t>alfa</t>
  </si>
  <si>
    <t>beta</t>
  </si>
  <si>
    <t>F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</si>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</sst>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38100">
                <a:solidFill>
                  <a:srgbClr val="FF0000"/>
                </a:solidFill>
              </a:ln>
              <a:effectLst/>
            </c:spPr>
          </c:marker>
          <c:xVal>
            <c:numRef>
              <c:f>'Неявная схема'!$F$12:$AJ$12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EF-4EB6-A745-828E969EF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61168"/>
        <c:axId val="673580752"/>
      </c:scatterChart>
      <c:valAx>
        <c:axId val="4904611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3580752"/>
        <c:crosses val="autoZero"/>
        <c:crossBetween val="midCat"/>
      </c:valAx>
      <c:valAx>
        <c:axId val="673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4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>
          <a:solidFill>
            <a:schemeClr val="tx1"/>
          </a:solidFill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 схема</c:v>
          </c:tx>
          <c:spPr>
            <a:ln w="28575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28575">
                <a:solidFill>
                  <a:srgbClr val="00B0F0"/>
                </a:solidFill>
                <a:prstDash val="solid"/>
              </a:ln>
              <a:effectLst/>
            </c:spPr>
          </c:marker>
          <c:xVal>
            <c:numRef>
              <c:f>'Неявная схема'!$F$12:$AJ$12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A-4482-BEEA-2CC530ECBADC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28575">
                <a:solidFill>
                  <a:srgbClr val="FF0000"/>
                </a:solidFill>
                <a:prstDash val="dash"/>
              </a:ln>
              <a:effectLst/>
            </c:spPr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634-47A0-B8C3-F53A940E8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61168"/>
        <c:axId val="673580752"/>
      </c:scatterChart>
      <c:valAx>
        <c:axId val="4904611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3580752"/>
        <c:crosses val="autoZero"/>
        <c:crossBetween val="midCat"/>
      </c:valAx>
      <c:valAx>
        <c:axId val="673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46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>
          <a:solidFill>
            <a:schemeClr val="tx1"/>
          </a:solidFill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20</xdr:row>
      <xdr:rowOff>14287</xdr:rowOff>
    </xdr:from>
    <xdr:to>
      <xdr:col>16</xdr:col>
      <xdr:colOff>400049</xdr:colOff>
      <xdr:row>43</xdr:row>
      <xdr:rowOff>47625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2931DBC-E7E8-4EA7-895E-A5882BB2F8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142875</xdr:colOff>
      <xdr:row>20</xdr:row>
      <xdr:rowOff>47625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EEF5AF-7F64-4C20-BE66-4FCD6BD9DEDE}"/>
                </a:ext>
              </a:extLst>
            </xdr:cNvPr>
            <xdr:cNvSpPr txBox="1"/>
          </xdr:nvSpPr>
          <xdr:spPr>
            <a:xfrm>
              <a:off x="3190875" y="3857625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EEF5AF-7F64-4C20-BE66-4FCD6BD9DEDE}"/>
                </a:ext>
              </a:extLst>
            </xdr:cNvPr>
            <xdr:cNvSpPr txBox="1"/>
          </xdr:nvSpPr>
          <xdr:spPr>
            <a:xfrm>
              <a:off x="3190875" y="3857625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twoCellAnchor>
    <xdr:from>
      <xdr:col>18</xdr:col>
      <xdr:colOff>0</xdr:colOff>
      <xdr:row>20</xdr:row>
      <xdr:rowOff>0</xdr:rowOff>
    </xdr:from>
    <xdr:to>
      <xdr:col>29</xdr:col>
      <xdr:colOff>266699</xdr:colOff>
      <xdr:row>43</xdr:row>
      <xdr:rowOff>33338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7F8B09D-024D-4269-BA65-1BD369CF8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9525</xdr:colOff>
      <xdr:row>20</xdr:row>
      <xdr:rowOff>57150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1D2F2E-8FFA-4AA7-B924-5C74F7FB7B3F}"/>
                </a:ext>
              </a:extLst>
            </xdr:cNvPr>
            <xdr:cNvSpPr txBox="1"/>
          </xdr:nvSpPr>
          <xdr:spPr>
            <a:xfrm>
              <a:off x="9248775" y="3867150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1D2F2E-8FFA-4AA7-B924-5C74F7FB7B3F}"/>
                </a:ext>
              </a:extLst>
            </xdr:cNvPr>
            <xdr:cNvSpPr txBox="1"/>
          </xdr:nvSpPr>
          <xdr:spPr>
            <a:xfrm>
              <a:off x="9248775" y="3867150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0.89677</cdr:x>
      <cdr:y>0.90733</cdr:y>
    </cdr:from>
    <cdr:to>
      <cdr:x>0.98426</cdr:x>
      <cdr:y>0.97662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cdr:txBody>
        </cdr:sp>
      </mc:Choice>
      <mc:Fallback xmlns="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0.89677</cdr:x>
      <cdr:y>0.90733</cdr:y>
    </cdr:from>
    <cdr:to>
      <cdr:x>0.98426</cdr:x>
      <cdr:y>0.97662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cdr:txBody>
        </cdr:sp>
      </mc:Choice>
      <mc:Fallback xmlns="">
        <cdr:sp macro="" textlink="">
          <cdr:nvSpPr>
            <cdr:cNvPr id="2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cdr:cNvPr>
            <cdr:cNvSpPr txBox="1"/>
          </cdr:nvSpPr>
          <cdr:spPr>
            <a:xfrm xmlns:a="http://schemas.openxmlformats.org/drawingml/2006/main">
              <a:off x="4937125" y="3279775"/>
              <a:ext cx="481670" cy="25045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86F54-4106-4623-A939-06666DC23BD2}">
  <sheetPr codeName="Лист1"/>
  <dimension ref="B3:AJ16"/>
  <sheetViews>
    <sheetView workbookViewId="0">
      <selection activeCell="I27" sqref="I27"/>
    </sheetView>
  </sheetViews>
  <sheetFormatPr defaultRowHeight="15" x14ac:dyDescent="0.25"/>
  <sheetData>
    <row r="3" spans="2:36" x14ac:dyDescent="0.25">
      <c r="B3" s="1" t="s">
        <v>4</v>
      </c>
      <c r="C3" s="1">
        <v>0.1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2:36" x14ac:dyDescent="0.25">
      <c r="B4" s="1" t="s">
        <v>1</v>
      </c>
      <c r="C4" s="3">
        <f>C3/30</f>
        <v>3.3333333333333335E-3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2:36" x14ac:dyDescent="0.25">
      <c r="B5" s="1" t="s">
        <v>3</v>
      </c>
      <c r="C5" s="3">
        <f>(C9*C8*C4^2)/(2*C10)</f>
        <v>0.4333333333333334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2:36" x14ac:dyDescent="0.25">
      <c r="B6" s="1" t="s">
        <v>2</v>
      </c>
      <c r="C6" s="1">
        <v>60</v>
      </c>
      <c r="D6" s="2">
        <v>60.233333333333341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2:36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2:36" x14ac:dyDescent="0.25">
      <c r="B8" s="1" t="s">
        <v>5</v>
      </c>
      <c r="C8" s="1">
        <v>460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2:36" x14ac:dyDescent="0.25">
      <c r="B9" s="1" t="s">
        <v>6</v>
      </c>
      <c r="C9" s="1">
        <v>7800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2:36" x14ac:dyDescent="0.25">
      <c r="B10" s="1" t="s">
        <v>7</v>
      </c>
      <c r="C10" s="1">
        <v>46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2:36" x14ac:dyDescent="0.25">
      <c r="B11" s="2"/>
      <c r="C11" s="2"/>
      <c r="D11" s="2"/>
      <c r="E11" s="2"/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</row>
    <row r="12" spans="2:36" x14ac:dyDescent="0.25">
      <c r="B12" s="1" t="s">
        <v>17</v>
      </c>
      <c r="C12" s="1">
        <v>300</v>
      </c>
      <c r="D12" s="2"/>
      <c r="E12" s="2" t="s">
        <v>0</v>
      </c>
      <c r="F12" s="5">
        <v>0</v>
      </c>
      <c r="G12" s="5">
        <f t="shared" ref="G12:AJ12" si="0">F12+$C$4</f>
        <v>3.3333333333333335E-3</v>
      </c>
      <c r="H12" s="5">
        <f t="shared" si="0"/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1" t="s">
        <v>8</v>
      </c>
      <c r="C13" s="1">
        <v>100</v>
      </c>
      <c r="D13" s="2"/>
      <c r="E13" s="2" t="s">
        <v>9</v>
      </c>
      <c r="F13" s="2">
        <f>C12</f>
        <v>300</v>
      </c>
      <c r="G13" s="2">
        <v>280.34602914679897</v>
      </c>
      <c r="H13" s="2">
        <v>260.69205829359794</v>
      </c>
      <c r="I13" s="2">
        <v>241.69187227593491</v>
      </c>
      <c r="J13" s="2">
        <v>222.69168625827183</v>
      </c>
      <c r="K13" s="2">
        <v>204.95390631913148</v>
      </c>
      <c r="L13" s="2">
        <v>187.21612637999107</v>
      </c>
      <c r="M13" s="2">
        <v>171.26453784334268</v>
      </c>
      <c r="N13" s="2">
        <v>155.31294930669429</v>
      </c>
      <c r="O13" s="2">
        <v>141.55671337374599</v>
      </c>
      <c r="P13" s="2">
        <v>127.80047744079765</v>
      </c>
      <c r="Q13" s="2">
        <v>116.51671674932982</v>
      </c>
      <c r="R13" s="2">
        <v>105.23295605786197</v>
      </c>
      <c r="S13" s="2">
        <v>96.561989352755049</v>
      </c>
      <c r="T13" s="2">
        <v>87.891022647648128</v>
      </c>
      <c r="U13" s="2">
        <v>81.842538774051832</v>
      </c>
      <c r="V13" s="2">
        <v>75.794054900455549</v>
      </c>
      <c r="W13" s="2">
        <v>72.261187114604226</v>
      </c>
      <c r="X13" s="2">
        <v>68.728319328752917</v>
      </c>
      <c r="Y13" s="2">
        <v>67.506108522455037</v>
      </c>
      <c r="Z13" s="2">
        <v>66.283897716157142</v>
      </c>
      <c r="AA13" s="2">
        <v>67.088962026000345</v>
      </c>
      <c r="AB13" s="2">
        <v>67.894026335843549</v>
      </c>
      <c r="AC13" s="2">
        <v>70.383127200086093</v>
      </c>
      <c r="AD13" s="2">
        <v>72.872228064328638</v>
      </c>
      <c r="AE13" s="2">
        <v>76.658491877071754</v>
      </c>
      <c r="AF13" s="2">
        <v>80.444755689814855</v>
      </c>
      <c r="AG13" s="2">
        <v>85.111263870845988</v>
      </c>
      <c r="AH13" s="2">
        <v>89.777772051877108</v>
      </c>
      <c r="AI13" s="2">
        <v>94.888886025938547</v>
      </c>
      <c r="AJ13" s="2">
        <f>C13</f>
        <v>100</v>
      </c>
    </row>
    <row r="14" spans="2:36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2:36" x14ac:dyDescent="0.25">
      <c r="B15" s="2"/>
      <c r="C15" s="2"/>
      <c r="D15" s="2"/>
      <c r="E15" s="2" t="s">
        <v>10</v>
      </c>
      <c r="F15" s="2"/>
      <c r="G15" s="2">
        <f t="shared" ref="G15:AI15" si="1">G13+(($C$10*$C$5)/($C$9*$C$8))*((H13-2*G13+F13)/($C$4^2))</f>
        <v>280.34602914679897</v>
      </c>
      <c r="H15" s="2">
        <f t="shared" si="1"/>
        <v>261.01895071136693</v>
      </c>
      <c r="I15" s="2">
        <f t="shared" si="1"/>
        <v>241.69187227593488</v>
      </c>
      <c r="J15" s="2">
        <f t="shared" si="1"/>
        <v>223.32288929753321</v>
      </c>
      <c r="K15" s="2">
        <f t="shared" si="1"/>
        <v>204.95390631913145</v>
      </c>
      <c r="L15" s="2">
        <f t="shared" si="1"/>
        <v>188.10922208123708</v>
      </c>
      <c r="M15" s="2">
        <f t="shared" si="1"/>
        <v>171.26453784334268</v>
      </c>
      <c r="N15" s="2">
        <f t="shared" si="1"/>
        <v>156.41062560854434</v>
      </c>
      <c r="O15" s="2">
        <f t="shared" si="1"/>
        <v>141.55671337374596</v>
      </c>
      <c r="P15" s="2">
        <f t="shared" si="1"/>
        <v>129.0367150615379</v>
      </c>
      <c r="Q15" s="2">
        <f t="shared" si="1"/>
        <v>116.51671674932982</v>
      </c>
      <c r="R15" s="2">
        <f t="shared" si="1"/>
        <v>106.53935305104244</v>
      </c>
      <c r="S15" s="2">
        <f t="shared" si="1"/>
        <v>96.561989352755049</v>
      </c>
      <c r="T15" s="2">
        <f t="shared" si="1"/>
        <v>89.202264063403447</v>
      </c>
      <c r="U15" s="2">
        <f t="shared" si="1"/>
        <v>81.842538774051832</v>
      </c>
      <c r="V15" s="2">
        <f t="shared" si="1"/>
        <v>77.051862944328036</v>
      </c>
      <c r="W15" s="2">
        <f t="shared" si="1"/>
        <v>72.26118711460424</v>
      </c>
      <c r="X15" s="2">
        <f t="shared" si="1"/>
        <v>69.883647818529624</v>
      </c>
      <c r="Y15" s="2">
        <f t="shared" si="1"/>
        <v>67.506108522455037</v>
      </c>
      <c r="Z15" s="2">
        <f t="shared" si="1"/>
        <v>67.297535274227698</v>
      </c>
      <c r="AA15" s="2">
        <f t="shared" si="1"/>
        <v>67.088962026000345</v>
      </c>
      <c r="AB15" s="2">
        <f t="shared" si="1"/>
        <v>68.736044613043219</v>
      </c>
      <c r="AC15" s="2">
        <f t="shared" si="1"/>
        <v>70.383127200086093</v>
      </c>
      <c r="AD15" s="2">
        <f t="shared" si="1"/>
        <v>73.520809538578931</v>
      </c>
      <c r="AE15" s="2">
        <f t="shared" si="1"/>
        <v>76.658491877071754</v>
      </c>
      <c r="AF15" s="2">
        <f t="shared" si="1"/>
        <v>80.884877873958871</v>
      </c>
      <c r="AG15" s="2">
        <f t="shared" si="1"/>
        <v>85.111263870845988</v>
      </c>
      <c r="AH15" s="2">
        <f t="shared" si="1"/>
        <v>90.000074948392268</v>
      </c>
      <c r="AI15" s="2">
        <f t="shared" si="1"/>
        <v>94.888886025938547</v>
      </c>
      <c r="AJ15" s="2"/>
    </row>
    <row r="16" spans="2:3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AJ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C35F4-F740-43E3-AFCF-9B5D3B9950AE}">
  <sheetPr codeName="Лист2"/>
  <dimension ref="B3:AJ19"/>
  <sheetViews>
    <sheetView tabSelected="1" workbookViewId="0">
      <selection activeCell="AH41" sqref="AH41"/>
    </sheetView>
  </sheetViews>
  <sheetFormatPr defaultRowHeight="15" x14ac:dyDescent="0.25"/>
  <cols>
    <col min="6" max="36" width="7.140625" customWidth="1"/>
  </cols>
  <sheetData>
    <row r="3" spans="2:36" x14ac:dyDescent="0.25">
      <c r="B3" s="1" t="s">
        <v>4</v>
      </c>
      <c r="C3" s="1">
        <v>0.1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2:36" x14ac:dyDescent="0.25">
      <c r="B4" s="1" t="s">
        <v>1</v>
      </c>
      <c r="C4" s="3">
        <f>C3/30</f>
        <v>3.3333333333333335E-3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2:36" x14ac:dyDescent="0.25">
      <c r="B5" s="1" t="s">
        <v>3</v>
      </c>
      <c r="C5" s="3">
        <f>(C9*C8*C4^2)/(2*C10)</f>
        <v>0.4333333333333334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2:36" x14ac:dyDescent="0.25">
      <c r="B6" s="1" t="s">
        <v>2</v>
      </c>
      <c r="C6" s="1">
        <v>60</v>
      </c>
      <c r="D6" s="2">
        <v>60.233333333333341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2:36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2:36" x14ac:dyDescent="0.25">
      <c r="B8" s="1" t="s">
        <v>5</v>
      </c>
      <c r="C8" s="1">
        <v>460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2:36" x14ac:dyDescent="0.25">
      <c r="B9" s="1" t="s">
        <v>6</v>
      </c>
      <c r="C9" s="1">
        <v>7800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2:36" x14ac:dyDescent="0.25">
      <c r="B10" s="1" t="s">
        <v>7</v>
      </c>
      <c r="C10" s="1">
        <v>46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2:36" x14ac:dyDescent="0.25">
      <c r="B11" s="2"/>
      <c r="C11" s="2"/>
      <c r="D11" s="2"/>
      <c r="E11" s="2"/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</row>
    <row r="12" spans="2:36" x14ac:dyDescent="0.25">
      <c r="B12" s="1" t="s">
        <v>17</v>
      </c>
      <c r="C12" s="1">
        <v>300</v>
      </c>
      <c r="D12" s="2"/>
      <c r="E12" s="2" t="s">
        <v>0</v>
      </c>
      <c r="F12" s="8">
        <v>0</v>
      </c>
      <c r="G12" s="8">
        <f t="shared" ref="G12:AJ12" si="0">F12+$C$4</f>
        <v>3.3333333333333335E-3</v>
      </c>
      <c r="H12" s="8">
        <f t="shared" si="0"/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2:36" x14ac:dyDescent="0.25">
      <c r="B13" s="1" t="s">
        <v>8</v>
      </c>
      <c r="C13" s="1">
        <v>100</v>
      </c>
      <c r="D13" s="2"/>
      <c r="E13" s="2" t="s">
        <v>9</v>
      </c>
      <c r="F13" s="2">
        <f>C12</f>
        <v>300</v>
      </c>
      <c r="G13" s="2">
        <v>280.20114262798575</v>
      </c>
      <c r="H13" s="2">
        <v>260.57053452366904</v>
      </c>
      <c r="I13" s="2">
        <v>241.27335396752636</v>
      </c>
      <c r="J13" s="2">
        <v>222.46874067679317</v>
      </c>
      <c r="K13" s="2">
        <v>204.30702925674697</v>
      </c>
      <c r="L13" s="2">
        <v>186.92727013670742</v>
      </c>
      <c r="M13" s="2">
        <v>170.45510875086381</v>
      </c>
      <c r="N13" s="2">
        <v>155.00107463428773</v>
      </c>
      <c r="O13" s="2">
        <v>140.65931099015722</v>
      </c>
      <c r="P13" s="2">
        <v>127.5067536180474</v>
      </c>
      <c r="Q13" s="2">
        <v>115.60274732960713</v>
      </c>
      <c r="R13" s="2">
        <v>104.98906943559072</v>
      </c>
      <c r="S13" s="2">
        <v>95.690314648076594</v>
      </c>
      <c r="T13" s="2">
        <v>87.714584570723446</v>
      </c>
      <c r="U13" s="2">
        <v>81.054418255410752</v>
      </c>
      <c r="V13" s="2">
        <v>75.68789812172092</v>
      </c>
      <c r="W13" s="2">
        <v>71.579867553261167</v>
      </c>
      <c r="X13" s="2">
        <v>68.68320209085141</v>
      </c>
      <c r="Y13" s="2">
        <v>66.940084503407604</v>
      </c>
      <c r="Z13" s="2">
        <v>66.283244166503039</v>
      </c>
      <c r="AA13" s="2">
        <v>66.637132112902975</v>
      </c>
      <c r="AB13" s="2">
        <v>67.919013891339318</v>
      </c>
      <c r="AC13" s="2">
        <v>70.039972168091296</v>
      </c>
      <c r="AD13" s="2">
        <v>72.905819217013814</v>
      </c>
      <c r="AE13" s="2">
        <v>76.417925689672472</v>
      </c>
      <c r="AF13" s="2">
        <v>80.473976208137344</v>
      </c>
      <c r="AG13" s="2">
        <v>84.968664482862408</v>
      </c>
      <c r="AH13" s="2">
        <v>89.794341128753075</v>
      </c>
      <c r="AI13" s="2">
        <v>94.841626578966242</v>
      </c>
      <c r="AJ13" s="2">
        <f>C13</f>
        <v>100</v>
      </c>
    </row>
    <row r="14" spans="2:36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2:36" x14ac:dyDescent="0.25">
      <c r="B15" s="2" t="s">
        <v>11</v>
      </c>
      <c r="C15" s="2">
        <f>C10/C4^2</f>
        <v>4139999.9999999991</v>
      </c>
      <c r="D15" s="2"/>
      <c r="E15" s="2" t="s">
        <v>10</v>
      </c>
      <c r="F15" s="2"/>
      <c r="G15" s="2">
        <f t="shared" ref="G15:AH15" si="1">G17*H15+G18</f>
        <v>280.28451209215399</v>
      </c>
      <c r="H15" s="2">
        <f t="shared" si="1"/>
        <v>260.73576311264441</v>
      </c>
      <c r="I15" s="2">
        <f t="shared" si="1"/>
        <v>241.51747131108542</v>
      </c>
      <c r="J15" s="2">
        <f t="shared" si="1"/>
        <v>222.78741419664442</v>
      </c>
      <c r="K15" s="2">
        <f t="shared" si="1"/>
        <v>204.69470412190589</v>
      </c>
      <c r="L15" s="2">
        <f t="shared" si="1"/>
        <v>187.37734377748521</v>
      </c>
      <c r="M15" s="2">
        <f t="shared" si="1"/>
        <v>170.96013071462008</v>
      </c>
      <c r="N15" s="2">
        <f t="shared" si="1"/>
        <v>155.55296157926747</v>
      </c>
      <c r="O15" s="2">
        <f t="shared" si="1"/>
        <v>141.24956633387433</v>
      </c>
      <c r="P15" s="2">
        <f t="shared" si="1"/>
        <v>128.12668177591533</v>
      </c>
      <c r="Q15" s="2">
        <f t="shared" si="1"/>
        <v>116.24365353369214</v>
      </c>
      <c r="R15" s="2">
        <f t="shared" si="1"/>
        <v>105.64243769963892</v>
      </c>
      <c r="S15" s="2">
        <f t="shared" si="1"/>
        <v>96.347958393682063</v>
      </c>
      <c r="T15" s="2">
        <f t="shared" si="1"/>
        <v>88.368766578936132</v>
      </c>
      <c r="U15" s="2">
        <f t="shared" si="1"/>
        <v>81.697938780615559</v>
      </c>
      <c r="V15" s="2">
        <f t="shared" si="1"/>
        <v>76.314152032704555</v>
      </c>
      <c r="W15" s="2">
        <f t="shared" si="1"/>
        <v>72.182873106760752</v>
      </c>
      <c r="X15" s="2">
        <f t="shared" si="1"/>
        <v>69.257605287816148</v>
      </c>
      <c r="Y15" s="2">
        <f t="shared" si="1"/>
        <v>67.481143862800991</v>
      </c>
      <c r="Z15" s="2">
        <f t="shared" si="1"/>
        <v>66.786801156572579</v>
      </c>
      <c r="AA15" s="2">
        <f t="shared" si="1"/>
        <v>67.099572430483207</v>
      </c>
      <c r="AB15" s="2">
        <f t="shared" si="1"/>
        <v>68.337224339554268</v>
      </c>
      <c r="AC15" s="2">
        <f t="shared" si="1"/>
        <v>70.411297145055215</v>
      </c>
      <c r="AD15" s="2">
        <f t="shared" si="1"/>
        <v>73.228019904484</v>
      </c>
      <c r="AE15" s="2">
        <f t="shared" si="1"/>
        <v>76.689144038853158</v>
      </c>
      <c r="AF15" s="2">
        <f t="shared" si="1"/>
        <v>80.692704871583686</v>
      </c>
      <c r="AG15" s="2">
        <f t="shared" si="1"/>
        <v>85.13372303120687</v>
      </c>
      <c r="AH15" s="2">
        <f t="shared" si="1"/>
        <v>89.904858287518977</v>
      </c>
      <c r="AI15" s="2">
        <f>AI17*AJ15+AI18</f>
        <v>94.897027861362858</v>
      </c>
      <c r="AJ15" s="2">
        <f>AJ13</f>
        <v>100</v>
      </c>
    </row>
    <row r="16" spans="2:36" x14ac:dyDescent="0.25">
      <c r="B16" s="6" t="s">
        <v>12</v>
      </c>
      <c r="C16" s="7">
        <f>2*C10/C4^2+C9*C8/C5</f>
        <v>16559999.999999996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2:35" x14ac:dyDescent="0.25">
      <c r="B17" s="6" t="s">
        <v>13</v>
      </c>
      <c r="C17" s="7">
        <f>C10/C4^2</f>
        <v>4139999.9999999991</v>
      </c>
      <c r="E17" s="2" t="s">
        <v>14</v>
      </c>
      <c r="F17" s="2">
        <v>0</v>
      </c>
      <c r="G17">
        <f>$C$15/($C$16-$C$17*F17)</f>
        <v>0.25</v>
      </c>
      <c r="H17">
        <f t="shared" ref="H17:AI17" si="2">$C$15/($C$16-$C$17*G17)</f>
        <v>0.26666666666666666</v>
      </c>
      <c r="I17">
        <f t="shared" si="2"/>
        <v>0.26785714285714285</v>
      </c>
      <c r="J17">
        <f t="shared" si="2"/>
        <v>0.26794258373205743</v>
      </c>
      <c r="K17">
        <f t="shared" si="2"/>
        <v>0.26794871794871794</v>
      </c>
      <c r="L17">
        <f t="shared" si="2"/>
        <v>0.26794915836482308</v>
      </c>
      <c r="M17">
        <f t="shared" si="2"/>
        <v>0.26794918998527245</v>
      </c>
      <c r="N17">
        <f t="shared" si="2"/>
        <v>0.26794919225551855</v>
      </c>
      <c r="O17">
        <f t="shared" si="2"/>
        <v>0.26794919241851489</v>
      </c>
      <c r="P17">
        <f t="shared" si="2"/>
        <v>0.26794919243021753</v>
      </c>
      <c r="Q17">
        <f t="shared" si="2"/>
        <v>0.26794919243105775</v>
      </c>
      <c r="R17">
        <f t="shared" si="2"/>
        <v>0.26794919243111803</v>
      </c>
      <c r="S17">
        <f t="shared" si="2"/>
        <v>0.26794919243112236</v>
      </c>
      <c r="T17">
        <f t="shared" si="2"/>
        <v>0.2679491924311227</v>
      </c>
      <c r="U17">
        <f t="shared" si="2"/>
        <v>0.2679491924311227</v>
      </c>
      <c r="V17">
        <f t="shared" si="2"/>
        <v>0.2679491924311227</v>
      </c>
      <c r="W17">
        <f t="shared" si="2"/>
        <v>0.2679491924311227</v>
      </c>
      <c r="X17">
        <f t="shared" si="2"/>
        <v>0.2679491924311227</v>
      </c>
      <c r="Y17">
        <f t="shared" si="2"/>
        <v>0.2679491924311227</v>
      </c>
      <c r="Z17">
        <f t="shared" si="2"/>
        <v>0.2679491924311227</v>
      </c>
      <c r="AA17">
        <f t="shared" si="2"/>
        <v>0.2679491924311227</v>
      </c>
      <c r="AB17">
        <f t="shared" si="2"/>
        <v>0.2679491924311227</v>
      </c>
      <c r="AC17">
        <f t="shared" si="2"/>
        <v>0.2679491924311227</v>
      </c>
      <c r="AD17">
        <f t="shared" si="2"/>
        <v>0.2679491924311227</v>
      </c>
      <c r="AE17">
        <f t="shared" si="2"/>
        <v>0.2679491924311227</v>
      </c>
      <c r="AF17">
        <f t="shared" si="2"/>
        <v>0.2679491924311227</v>
      </c>
      <c r="AG17">
        <f t="shared" si="2"/>
        <v>0.2679491924311227</v>
      </c>
      <c r="AH17">
        <f t="shared" si="2"/>
        <v>0.2679491924311227</v>
      </c>
      <c r="AI17">
        <f t="shared" si="2"/>
        <v>0.2679491924311227</v>
      </c>
    </row>
    <row r="18" spans="2:35" x14ac:dyDescent="0.25">
      <c r="E18" s="2" t="s">
        <v>15</v>
      </c>
      <c r="F18" s="2">
        <f>F13</f>
        <v>300</v>
      </c>
      <c r="G18">
        <f>(F18*$C$17-G19)/($C$16-$C$17*F17)</f>
        <v>215.1005713139929</v>
      </c>
      <c r="H18">
        <f t="shared" ref="H18:AI18" si="3">(G18*$C$17-H19)/($C$16-$C$17*G17)</f>
        <v>196.33110409635498</v>
      </c>
      <c r="I18">
        <f t="shared" si="3"/>
        <v>181.84227107984137</v>
      </c>
      <c r="J18">
        <f t="shared" si="3"/>
        <v>167.94098629795192</v>
      </c>
      <c r="K18">
        <f t="shared" si="3"/>
        <v>154.48718508409254</v>
      </c>
      <c r="L18">
        <f t="shared" si="3"/>
        <v>141.56872063856261</v>
      </c>
      <c r="M18">
        <f t="shared" si="3"/>
        <v>129.27984065964515</v>
      </c>
      <c r="N18">
        <f t="shared" si="3"/>
        <v>117.70525437366356</v>
      </c>
      <c r="O18">
        <f t="shared" si="3"/>
        <v>106.91812542475377</v>
      </c>
      <c r="P18">
        <f t="shared" si="3"/>
        <v>96.979288686424511</v>
      </c>
      <c r="Q18">
        <f t="shared" si="3"/>
        <v>87.936847665625564</v>
      </c>
      <c r="R18">
        <f t="shared" si="3"/>
        <v>79.826080055664846</v>
      </c>
      <c r="S18">
        <f t="shared" si="3"/>
        <v>72.669618752721775</v>
      </c>
      <c r="T18">
        <f t="shared" si="3"/>
        <v>66.477869859382892</v>
      </c>
      <c r="U18">
        <f t="shared" si="3"/>
        <v>61.249623372386452</v>
      </c>
      <c r="V18">
        <f t="shared" si="3"/>
        <v>56.972809476389799</v>
      </c>
      <c r="W18">
        <f t="shared" si="3"/>
        <v>53.625353700176966</v>
      </c>
      <c r="X18">
        <f t="shared" si="3"/>
        <v>51.176087285450215</v>
      </c>
      <c r="Y18">
        <f t="shared" si="3"/>
        <v>49.585674427839393</v>
      </c>
      <c r="Z18">
        <f t="shared" si="3"/>
        <v>48.807524911350974</v>
      </c>
      <c r="AA18">
        <f t="shared" si="3"/>
        <v>48.788668355715174</v>
      </c>
      <c r="AB18">
        <f t="shared" si="3"/>
        <v>49.470574131508911</v>
      </c>
      <c r="AC18">
        <f t="shared" si="3"/>
        <v>50.789908348318555</v>
      </c>
      <c r="AD18">
        <f t="shared" si="3"/>
        <v>52.679225691039257</v>
      </c>
      <c r="AE18">
        <f t="shared" si="3"/>
        <v>55.067598933429394</v>
      </c>
      <c r="AF18">
        <f t="shared" si="3"/>
        <v>57.881192536716931</v>
      </c>
      <c r="AG18">
        <f t="shared" si="3"/>
        <v>61.043788857431636</v>
      </c>
      <c r="AH18">
        <f t="shared" si="3"/>
        <v>64.477276307953048</v>
      </c>
      <c r="AI18">
        <f t="shared" si="3"/>
        <v>68.102108618250597</v>
      </c>
    </row>
    <row r="19" spans="2:35" x14ac:dyDescent="0.25">
      <c r="E19" s="2" t="s">
        <v>16</v>
      </c>
      <c r="F19" s="2">
        <f>-$C$9*$C$8/$C$5*F13</f>
        <v>-2483999999.9999995</v>
      </c>
      <c r="G19" s="2">
        <f t="shared" ref="G19:AI19" si="4">-$C$9*$C$8/$C$5*G13</f>
        <v>-2320065460.9597216</v>
      </c>
      <c r="H19" s="2">
        <f t="shared" si="4"/>
        <v>-2157524025.8559794</v>
      </c>
      <c r="I19" s="2">
        <f t="shared" si="4"/>
        <v>-1997743370.8511181</v>
      </c>
      <c r="J19" s="2">
        <f t="shared" si="4"/>
        <v>-1842041172.8038473</v>
      </c>
      <c r="K19" s="2">
        <f t="shared" si="4"/>
        <v>-1691662202.2458646</v>
      </c>
      <c r="L19" s="2">
        <f t="shared" si="4"/>
        <v>-1547757796.7319372</v>
      </c>
      <c r="M19" s="2">
        <f t="shared" si="4"/>
        <v>-1411368300.4571521</v>
      </c>
      <c r="N19" s="2">
        <f t="shared" si="4"/>
        <v>-1283408897.9719024</v>
      </c>
      <c r="O19" s="2">
        <f t="shared" si="4"/>
        <v>-1164659094.9985018</v>
      </c>
      <c r="P19" s="2">
        <f t="shared" si="4"/>
        <v>-1055755919.9574324</v>
      </c>
      <c r="Q19" s="2">
        <f t="shared" si="4"/>
        <v>-957190747.88914692</v>
      </c>
      <c r="R19" s="2">
        <f t="shared" si="4"/>
        <v>-869309494.92669106</v>
      </c>
      <c r="S19" s="2">
        <f t="shared" si="4"/>
        <v>-792315805.28607416</v>
      </c>
      <c r="T19" s="2">
        <f t="shared" si="4"/>
        <v>-726276760.24559009</v>
      </c>
      <c r="U19" s="2">
        <f t="shared" si="4"/>
        <v>-671130583.15480101</v>
      </c>
      <c r="V19" s="2">
        <f t="shared" si="4"/>
        <v>-626695796.44784915</v>
      </c>
      <c r="W19" s="2">
        <f t="shared" si="4"/>
        <v>-592681303.34100235</v>
      </c>
      <c r="X19" s="2">
        <f t="shared" si="4"/>
        <v>-568696913.31224966</v>
      </c>
      <c r="Y19" s="2">
        <f t="shared" si="4"/>
        <v>-554263899.6882149</v>
      </c>
      <c r="Z19" s="2">
        <f t="shared" si="4"/>
        <v>-548825261.69864511</v>
      </c>
      <c r="AA19" s="2">
        <f t="shared" si="4"/>
        <v>-551755453.89483654</v>
      </c>
      <c r="AB19" s="2">
        <f t="shared" si="4"/>
        <v>-562369435.02028954</v>
      </c>
      <c r="AC19" s="2">
        <f t="shared" si="4"/>
        <v>-579930969.55179584</v>
      </c>
      <c r="AD19" s="2">
        <f t="shared" si="4"/>
        <v>-603660183.11687434</v>
      </c>
      <c r="AE19" s="2">
        <f t="shared" si="4"/>
        <v>-632740424.71048796</v>
      </c>
      <c r="AF19" s="2">
        <f t="shared" si="4"/>
        <v>-666324523.00337708</v>
      </c>
      <c r="AG19" s="2">
        <f t="shared" si="4"/>
        <v>-703540541.91810071</v>
      </c>
      <c r="AH19" s="2">
        <f t="shared" si="4"/>
        <v>-743497144.54607534</v>
      </c>
      <c r="AI19" s="2">
        <f t="shared" si="4"/>
        <v>-785288668.07384038</v>
      </c>
    </row>
  </sheetData>
  <conditionalFormatting sqref="AJ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Frazer</dc:creator>
  <cp:lastModifiedBy>Алексей Якимов</cp:lastModifiedBy>
  <dcterms:created xsi:type="dcterms:W3CDTF">2021-10-25T15:57:11Z</dcterms:created>
  <dcterms:modified xsi:type="dcterms:W3CDTF">2021-10-25T17:03:21Z</dcterms:modified>
</cp:coreProperties>
</file>