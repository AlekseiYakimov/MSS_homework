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https://ssauru-my.sharepoint.com/personal/2019-01500_students_ssau_ru/Documents/UNI/МСС/"/>
    </mc:Choice>
  </mc:AlternateContent>
  <xr:revisionPtr revIDLastSave="6" documentId="8_{2854A106-063D-4A5F-894C-0C94E43B79BF}" xr6:coauthVersionLast="47" xr6:coauthVersionMax="47" xr10:uidLastSave="{1D084FF9-8E99-42B8-AD44-4F62D3149C52}"/>
  <bookViews>
    <workbookView xWindow="-120" yWindow="-120" windowWidth="29040" windowHeight="15840" activeTab="2" xr2:uid="{00000000-000D-0000-FFFF-FFFF00000000}"/>
  </bookViews>
  <sheets>
    <sheet name="Граничное условие 1-го рода" sheetId="2" r:id="rId1"/>
    <sheet name="Граничное условие 2-го рода" sheetId="1" r:id="rId2"/>
    <sheet name="Граничное условие 3-го рода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3" i="3" l="1"/>
  <c r="F13" i="3"/>
  <c r="G15" i="3" s="1"/>
  <c r="F13" i="1"/>
  <c r="C4" i="3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J13" i="2"/>
  <c r="F13" i="2"/>
  <c r="C4" i="2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13" i="3" l="1"/>
  <c r="C5" i="3"/>
  <c r="C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I16" i="1"/>
  <c r="AG16" i="1"/>
  <c r="Y16" i="1"/>
  <c r="Q16" i="1"/>
  <c r="AF16" i="1"/>
  <c r="X16" i="1"/>
  <c r="P16" i="1"/>
  <c r="AE16" i="1"/>
  <c r="W16" i="1"/>
  <c r="O16" i="1"/>
  <c r="AD16" i="1"/>
  <c r="V16" i="1"/>
  <c r="N16" i="1"/>
  <c r="AA16" i="1"/>
  <c r="AC16" i="1"/>
  <c r="M16" i="1"/>
  <c r="C5" i="1"/>
  <c r="AG15" i="1" s="1"/>
  <c r="U16" i="1"/>
  <c r="AB16" i="1"/>
  <c r="T16" i="1"/>
  <c r="L16" i="1"/>
  <c r="K16" i="1"/>
  <c r="S16" i="1"/>
  <c r="AH16" i="1"/>
  <c r="Z16" i="1"/>
  <c r="R16" i="1"/>
  <c r="J16" i="1"/>
  <c r="I16" i="1"/>
  <c r="H16" i="1"/>
  <c r="I15" i="1"/>
  <c r="Q15" i="1"/>
  <c r="Y15" i="1"/>
  <c r="J15" i="1"/>
  <c r="R15" i="1"/>
  <c r="Z15" i="1"/>
  <c r="AH15" i="1"/>
  <c r="K15" i="1"/>
  <c r="S15" i="1"/>
  <c r="AA15" i="1"/>
  <c r="L15" i="1"/>
  <c r="T15" i="1"/>
  <c r="U15" i="1"/>
  <c r="AD15" i="1"/>
  <c r="O15" i="1"/>
  <c r="W15" i="1"/>
  <c r="AE15" i="1"/>
  <c r="H15" i="1"/>
  <c r="P15" i="1"/>
  <c r="X15" i="1"/>
  <c r="AF15" i="1"/>
  <c r="AB15" i="1"/>
  <c r="M15" i="1"/>
  <c r="AC15" i="1"/>
  <c r="N15" i="1"/>
  <c r="V15" i="1"/>
  <c r="N15" i="3" l="1"/>
  <c r="V15" i="3"/>
  <c r="AD15" i="3"/>
  <c r="O15" i="3"/>
  <c r="W15" i="3"/>
  <c r="AE15" i="3"/>
  <c r="H15" i="3"/>
  <c r="P15" i="3"/>
  <c r="X15" i="3"/>
  <c r="AF15" i="3"/>
  <c r="I15" i="3"/>
  <c r="Q15" i="3"/>
  <c r="Y15" i="3"/>
  <c r="AG15" i="3"/>
  <c r="M15" i="3"/>
  <c r="AC15" i="3"/>
  <c r="J15" i="3"/>
  <c r="R15" i="3"/>
  <c r="Z15" i="3"/>
  <c r="AH15" i="3"/>
  <c r="K15" i="3"/>
  <c r="S15" i="3"/>
  <c r="AA15" i="3"/>
  <c r="AI15" i="3"/>
  <c r="L15" i="3"/>
  <c r="T15" i="3"/>
  <c r="AB15" i="3"/>
  <c r="U15" i="3"/>
  <c r="G16" i="1"/>
  <c r="G15" i="1"/>
  <c r="AF15" i="2"/>
  <c r="X15" i="2"/>
  <c r="P15" i="2"/>
  <c r="H15" i="2"/>
  <c r="AB15" i="2"/>
  <c r="T15" i="2"/>
  <c r="L15" i="2"/>
  <c r="AI15" i="2"/>
  <c r="AA15" i="2"/>
  <c r="S15" i="2"/>
  <c r="K15" i="2"/>
  <c r="AH15" i="2"/>
  <c r="Z15" i="2"/>
  <c r="R15" i="2"/>
  <c r="J15" i="2"/>
  <c r="AG15" i="2"/>
  <c r="Y15" i="2"/>
  <c r="Q15" i="2"/>
  <c r="I15" i="2"/>
  <c r="AE15" i="2"/>
  <c r="W15" i="2"/>
  <c r="O15" i="2"/>
  <c r="G15" i="2"/>
  <c r="AD15" i="2"/>
  <c r="V15" i="2"/>
  <c r="N15" i="2"/>
  <c r="AC15" i="2"/>
  <c r="U15" i="2"/>
  <c r="M15" i="2"/>
  <c r="AI15" i="1"/>
  <c r="C12" i="3" l="1"/>
</calcChain>
</file>

<file path=xl/sharedStrings.xml><?xml version="1.0" encoding="utf-8"?>
<sst xmlns="http://schemas.openxmlformats.org/spreadsheetml/2006/main" count="44" uniqueCount="23">
  <si>
    <t xml:space="preserve"> L</t>
  </si>
  <si>
    <t>dx</t>
  </si>
  <si>
    <t>dt</t>
  </si>
  <si>
    <t>t</t>
  </si>
  <si>
    <t>Cp</t>
  </si>
  <si>
    <t>r0</t>
  </si>
  <si>
    <t>lamda</t>
  </si>
  <si>
    <t>L</t>
  </si>
  <si>
    <t>T</t>
  </si>
  <si>
    <t>T_end</t>
  </si>
  <si>
    <t>T_iter</t>
  </si>
  <si>
    <t>q_start</t>
  </si>
  <si>
    <t>q</t>
  </si>
  <si>
    <t>T_start</t>
  </si>
  <si>
    <t>Tgas2</t>
  </si>
  <si>
    <t>Tgas1</t>
  </si>
  <si>
    <t>а1</t>
  </si>
  <si>
    <t>a2</t>
  </si>
  <si>
    <t>Tw1</t>
  </si>
  <si>
    <t>Tw2</t>
  </si>
  <si>
    <t>Tgas1, Tgas2 - температуры воздуха слева и справа</t>
  </si>
  <si>
    <t>a1, a2 - коэффициенты теплоотдачи воздуха</t>
  </si>
  <si>
    <t>Tw1, Tw2 - Температура стенок в некоторый момент времени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</si>
</sst>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'Граничное условие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'Граничное условие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20-4214-8897-1DA353F1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73720"/>
        <c:axId val="606074040"/>
      </c:scatterChart>
      <c:valAx>
        <c:axId val="606073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4040"/>
        <c:crosses val="autoZero"/>
        <c:crossBetween val="midCat"/>
      </c:valAx>
      <c:valAx>
        <c:axId val="606074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'Граничное условие 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'Граничное условие 2-го рода'!$F$13:$AJ$13</c:f>
              <c:numCache>
                <c:formatCode>General</c:formatCode>
                <c:ptCount val="31"/>
                <c:pt idx="0">
                  <c:v>211.94184029553423</c:v>
                </c:pt>
                <c:pt idx="1">
                  <c:v>205.27517362886758</c:v>
                </c:pt>
                <c:pt idx="2">
                  <c:v>198.8584550239982</c:v>
                </c:pt>
                <c:pt idx="3">
                  <c:v>192.68957755255519</c:v>
                </c:pt>
                <c:pt idx="4">
                  <c:v>186.76991249534154</c:v>
                </c:pt>
                <c:pt idx="5">
                  <c:v>181.09321030506484</c:v>
                </c:pt>
                <c:pt idx="6">
                  <c:v>175.66210367876468</c:v>
                </c:pt>
                <c:pt idx="7">
                  <c:v>170.46641121788946</c:v>
                </c:pt>
                <c:pt idx="8">
                  <c:v>165.50981281792511</c:v>
                </c:pt>
                <c:pt idx="9">
                  <c:v>160.77853681899518</c:v>
                </c:pt>
                <c:pt idx="10">
                  <c:v>156.27700251108848</c:v>
                </c:pt>
                <c:pt idx="11">
                  <c:v>151.98830629953903</c:v>
                </c:pt>
                <c:pt idx="12">
                  <c:v>147.91722100196972</c:v>
                </c:pt>
                <c:pt idx="13">
                  <c:v>144.04426730863821</c:v>
                </c:pt>
                <c:pt idx="14">
                  <c:v>140.37412719365619</c:v>
                </c:pt>
                <c:pt idx="15">
                  <c:v>136.88537697319316</c:v>
                </c:pt>
                <c:pt idx="16">
                  <c:v>133.58212758747146</c:v>
                </c:pt>
                <c:pt idx="17">
                  <c:v>130.44169174154348</c:v>
                </c:pt>
                <c:pt idx="18">
                  <c:v>127.46711808772818</c:v>
                </c:pt>
                <c:pt idx="19">
                  <c:v>124.63515840634811</c:v>
                </c:pt>
                <c:pt idx="20">
                  <c:v>121.94732241583469</c:v>
                </c:pt>
                <c:pt idx="21">
                  <c:v>119.38049748840369</c:v>
                </c:pt>
                <c:pt idx="22">
                  <c:v>116.93421775794343</c:v>
                </c:pt>
                <c:pt idx="23">
                  <c:v>114.58616907492981</c:v>
                </c:pt>
                <c:pt idx="24">
                  <c:v>112.33353724472273</c:v>
                </c:pt>
                <c:pt idx="25">
                  <c:v>110.15541021941058</c:v>
                </c:pt>
                <c:pt idx="26">
                  <c:v>108.04633794557506</c:v>
                </c:pt>
                <c:pt idx="27">
                  <c:v>105.98733214157019</c:v>
                </c:pt>
                <c:pt idx="28">
                  <c:v>103.97012226799747</c:v>
                </c:pt>
                <c:pt idx="29">
                  <c:v>101.97806473088437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9B-4727-98C9-88383B6BA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73720"/>
        <c:axId val="606074040"/>
      </c:scatterChart>
      <c:valAx>
        <c:axId val="606073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4040"/>
        <c:crosses val="autoZero"/>
        <c:crossBetween val="midCat"/>
      </c:valAx>
      <c:valAx>
        <c:axId val="606074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'Граничное условие 3-го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'Граничное условие 3-го рода'!$F$13:$AJ$13</c:f>
              <c:numCache>
                <c:formatCode>General</c:formatCode>
                <c:ptCount val="31"/>
                <c:pt idx="0">
                  <c:v>37.200534310165786</c:v>
                </c:pt>
                <c:pt idx="1">
                  <c:v>35.939664770717911</c:v>
                </c:pt>
                <c:pt idx="2">
                  <c:v>34.744090916909073</c:v>
                </c:pt>
                <c:pt idx="3">
                  <c:v>33.613873281411593</c:v>
                </c:pt>
                <c:pt idx="4">
                  <c:v>32.549029434681877</c:v>
                </c:pt>
                <c:pt idx="5">
                  <c:v>31.549628099848455</c:v>
                </c:pt>
                <c:pt idx="6">
                  <c:v>30.615649611722741</c:v>
                </c:pt>
                <c:pt idx="7">
                  <c:v>29.747169742116373</c:v>
                </c:pt>
                <c:pt idx="8">
                  <c:v>28.944134403594731</c:v>
                </c:pt>
                <c:pt idx="9">
                  <c:v>28.206624589807998</c:v>
                </c:pt>
                <c:pt idx="10">
                  <c:v>27.534555858091608</c:v>
                </c:pt>
                <c:pt idx="11">
                  <c:v>26.928011996642397</c:v>
                </c:pt>
                <c:pt idx="12">
                  <c:v>26.386883337213291</c:v>
                </c:pt>
                <c:pt idx="13">
                  <c:v>25.911253547460831</c:v>
                </c:pt>
                <c:pt idx="14">
                  <c:v>25.50099368512673</c:v>
                </c:pt>
                <c:pt idx="15">
                  <c:v>25.156184029883121</c:v>
                </c:pt>
                <c:pt idx="16">
                  <c:v>24.876682859809438</c:v>
                </c:pt>
                <c:pt idx="17">
                  <c:v>24.662563598712939</c:v>
                </c:pt>
                <c:pt idx="18">
                  <c:v>24.513678477636621</c:v>
                </c:pt>
                <c:pt idx="19">
                  <c:v>24.430090557539977</c:v>
                </c:pt>
                <c:pt idx="20">
                  <c:v>24.4116526777497</c:v>
                </c:pt>
                <c:pt idx="21">
                  <c:v>24.458414153531209</c:v>
                </c:pt>
                <c:pt idx="22">
                  <c:v>24.570234698636721</c:v>
                </c:pt>
                <c:pt idx="23">
                  <c:v>24.747146781475127</c:v>
                </c:pt>
                <c:pt idx="24">
                  <c:v>24.989022573642714</c:v>
                </c:pt>
                <c:pt idx="25">
                  <c:v>25.295875021736812</c:v>
                </c:pt>
                <c:pt idx="26">
                  <c:v>25.667593394434203</c:v>
                </c:pt>
                <c:pt idx="27">
                  <c:v>26.104168992546732</c:v>
                </c:pt>
                <c:pt idx="28">
                  <c:v>26.605511659767497</c:v>
                </c:pt>
                <c:pt idx="29">
                  <c:v>27.171589577346886</c:v>
                </c:pt>
                <c:pt idx="30">
                  <c:v>27.80233531802747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8A-49DC-9D0B-FDBC848A4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73720"/>
        <c:axId val="606074040"/>
      </c:scatterChart>
      <c:valAx>
        <c:axId val="606073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4040"/>
        <c:crosses val="autoZero"/>
        <c:crossBetween val="midCat"/>
      </c:valAx>
      <c:valAx>
        <c:axId val="606074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18</xdr:row>
      <xdr:rowOff>14287</xdr:rowOff>
    </xdr:from>
    <xdr:to>
      <xdr:col>15</xdr:col>
      <xdr:colOff>457199</xdr:colOff>
      <xdr:row>40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DBC480E-89A3-4269-8C2A-4F8D99F17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61912</xdr:colOff>
      <xdr:row>18</xdr:row>
      <xdr:rowOff>80962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93FF75A-A8A1-4080-B2F8-E1F5D91F2500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93FF75A-A8A1-4080-B2F8-E1F5D91F2500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14</xdr:col>
      <xdr:colOff>381000</xdr:colOff>
      <xdr:row>38</xdr:row>
      <xdr:rowOff>95250</xdr:rowOff>
    </xdr:from>
    <xdr:ext cx="48167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18</xdr:row>
      <xdr:rowOff>14287</xdr:rowOff>
    </xdr:from>
    <xdr:to>
      <xdr:col>15</xdr:col>
      <xdr:colOff>457199</xdr:colOff>
      <xdr:row>40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0EC98DD-A73A-4806-8EEE-1579B4AED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61912</xdr:colOff>
      <xdr:row>18</xdr:row>
      <xdr:rowOff>80962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A07F9A8-06C1-4863-B658-CCE626B78B95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A07F9A8-06C1-4863-B658-CCE626B78B95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14</xdr:col>
      <xdr:colOff>381000</xdr:colOff>
      <xdr:row>38</xdr:row>
      <xdr:rowOff>95250</xdr:rowOff>
    </xdr:from>
    <xdr:ext cx="48167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9D1E094-58CD-4912-A41B-2866EE92816C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9D1E094-58CD-4912-A41B-2866EE92816C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17</xdr:row>
      <xdr:rowOff>4762</xdr:rowOff>
    </xdr:from>
    <xdr:to>
      <xdr:col>14</xdr:col>
      <xdr:colOff>314324</xdr:colOff>
      <xdr:row>39</xdr:row>
      <xdr:rowOff>9525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50E853C-814E-4E29-8A85-AC9FC7B99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33337</xdr:colOff>
      <xdr:row>17</xdr:row>
      <xdr:rowOff>52387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E45409-515E-4EF5-AD12-4061E48D1D8C}"/>
                </a:ext>
              </a:extLst>
            </xdr:cNvPr>
            <xdr:cNvSpPr txBox="1"/>
          </xdr:nvSpPr>
          <xdr:spPr>
            <a:xfrm>
              <a:off x="2528887" y="3290887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E45409-515E-4EF5-AD12-4061E48D1D8C}"/>
                </a:ext>
              </a:extLst>
            </xdr:cNvPr>
            <xdr:cNvSpPr txBox="1"/>
          </xdr:nvSpPr>
          <xdr:spPr>
            <a:xfrm>
              <a:off x="2528887" y="3290887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13</xdr:col>
      <xdr:colOff>161925</xdr:colOff>
      <xdr:row>37</xdr:row>
      <xdr:rowOff>95250</xdr:rowOff>
    </xdr:from>
    <xdr:ext cx="48167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09D0747-E151-42F7-9AB1-B87FA79C5A3F}"/>
                </a:ext>
              </a:extLst>
            </xdr:cNvPr>
            <xdr:cNvSpPr txBox="1"/>
          </xdr:nvSpPr>
          <xdr:spPr>
            <a:xfrm>
              <a:off x="6924675" y="71437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09D0747-E151-42F7-9AB1-B87FA79C5A3F}"/>
                </a:ext>
              </a:extLst>
            </xdr:cNvPr>
            <xdr:cNvSpPr txBox="1"/>
          </xdr:nvSpPr>
          <xdr:spPr>
            <a:xfrm>
              <a:off x="6924675" y="71437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10278-2408-4EA4-AB9D-083F9B4A9470}">
  <sheetPr codeName="Лист2"/>
  <dimension ref="A3:AJ16"/>
  <sheetViews>
    <sheetView workbookViewId="0">
      <selection activeCell="Y28" sqref="Y28"/>
    </sheetView>
  </sheetViews>
  <sheetFormatPr defaultRowHeight="15" x14ac:dyDescent="0.25"/>
  <cols>
    <col min="3" max="3" width="9.5703125" bestFit="1" customWidth="1"/>
    <col min="6" max="36" width="6.85546875" style="3" customWidth="1"/>
  </cols>
  <sheetData>
    <row r="3" spans="1:36" x14ac:dyDescent="0.25">
      <c r="B3" s="5" t="s">
        <v>0</v>
      </c>
      <c r="C3" s="5">
        <v>0.1</v>
      </c>
      <c r="D3" s="3"/>
      <c r="E3" s="3"/>
    </row>
    <row r="4" spans="1:36" x14ac:dyDescent="0.25">
      <c r="B4" s="5" t="s">
        <v>1</v>
      </c>
      <c r="C4" s="6">
        <f>C3/30</f>
        <v>3.3333333333333335E-3</v>
      </c>
      <c r="D4" s="3"/>
      <c r="E4" s="3"/>
    </row>
    <row r="5" spans="1:36" x14ac:dyDescent="0.25">
      <c r="B5" s="5" t="s">
        <v>2</v>
      </c>
      <c r="C5" s="6">
        <f>(C9*C8*C4^2)/(2*C10)</f>
        <v>0.4333333333333334</v>
      </c>
      <c r="D5" s="3"/>
      <c r="E5" s="3"/>
    </row>
    <row r="6" spans="1:36" x14ac:dyDescent="0.25">
      <c r="A6" s="4"/>
      <c r="B6" s="5" t="s">
        <v>3</v>
      </c>
      <c r="C6" s="5">
        <v>60</v>
      </c>
      <c r="D6" s="3">
        <v>60.233333333333341</v>
      </c>
      <c r="E6" s="3"/>
    </row>
    <row r="7" spans="1:36" x14ac:dyDescent="0.25">
      <c r="B7" s="7"/>
      <c r="C7" s="7"/>
      <c r="D7" s="7"/>
      <c r="E7" s="3"/>
    </row>
    <row r="8" spans="1:36" x14ac:dyDescent="0.25">
      <c r="B8" s="5" t="s">
        <v>4</v>
      </c>
      <c r="C8" s="5">
        <v>460</v>
      </c>
      <c r="D8" s="3"/>
      <c r="E8" s="3"/>
    </row>
    <row r="9" spans="1:36" x14ac:dyDescent="0.25">
      <c r="B9" s="5" t="s">
        <v>5</v>
      </c>
      <c r="C9" s="5">
        <v>7800</v>
      </c>
      <c r="D9" s="3"/>
      <c r="E9" s="3"/>
    </row>
    <row r="10" spans="1:36" x14ac:dyDescent="0.25">
      <c r="A10" s="4"/>
      <c r="B10" s="5" t="s">
        <v>6</v>
      </c>
      <c r="C10" s="5">
        <v>46</v>
      </c>
      <c r="D10" s="3"/>
      <c r="E10" s="3"/>
    </row>
    <row r="11" spans="1:36" x14ac:dyDescent="0.25">
      <c r="B11" s="7"/>
      <c r="C11" s="7"/>
      <c r="D11" s="7"/>
      <c r="E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13</v>
      </c>
      <c r="C12" s="5">
        <v>300</v>
      </c>
      <c r="D12" s="3"/>
      <c r="E12" s="3" t="s">
        <v>7</v>
      </c>
      <c r="F12" s="2">
        <v>0</v>
      </c>
      <c r="G12" s="2">
        <f t="shared" ref="G12:AJ12" si="0">F12+$C$4</f>
        <v>3.3333333333333335E-3</v>
      </c>
      <c r="H12" s="2">
        <f t="shared" si="0"/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5" t="s">
        <v>9</v>
      </c>
      <c r="C13" s="5">
        <v>100</v>
      </c>
      <c r="D13" s="3"/>
      <c r="E13" s="3" t="s">
        <v>8</v>
      </c>
      <c r="F13" s="3">
        <f>C12</f>
        <v>300</v>
      </c>
      <c r="G13" s="3">
        <v>280.34602914679897</v>
      </c>
      <c r="H13" s="3">
        <v>260.69205829359794</v>
      </c>
      <c r="I13" s="3">
        <v>241.69187227593491</v>
      </c>
      <c r="J13" s="3">
        <v>222.69168625827183</v>
      </c>
      <c r="K13" s="3">
        <v>204.95390631913148</v>
      </c>
      <c r="L13" s="3">
        <v>187.21612637999107</v>
      </c>
      <c r="M13" s="3">
        <v>171.26453784334268</v>
      </c>
      <c r="N13" s="3">
        <v>155.31294930669429</v>
      </c>
      <c r="O13" s="3">
        <v>141.55671337374599</v>
      </c>
      <c r="P13" s="3">
        <v>127.80047744079765</v>
      </c>
      <c r="Q13" s="3">
        <v>116.51671674932982</v>
      </c>
      <c r="R13" s="3">
        <v>105.23295605786197</v>
      </c>
      <c r="S13" s="3">
        <v>96.561989352755049</v>
      </c>
      <c r="T13" s="3">
        <v>87.891022647648128</v>
      </c>
      <c r="U13" s="3">
        <v>81.842538774051832</v>
      </c>
      <c r="V13" s="3">
        <v>75.794054900455549</v>
      </c>
      <c r="W13" s="3">
        <v>72.261187114604226</v>
      </c>
      <c r="X13" s="3">
        <v>68.728319328752917</v>
      </c>
      <c r="Y13" s="3">
        <v>67.506108522455037</v>
      </c>
      <c r="Z13" s="3">
        <v>66.283897716157142</v>
      </c>
      <c r="AA13" s="3">
        <v>67.088962026000345</v>
      </c>
      <c r="AB13" s="3">
        <v>67.894026335843549</v>
      </c>
      <c r="AC13" s="3">
        <v>70.383127200086093</v>
      </c>
      <c r="AD13" s="3">
        <v>72.872228064328638</v>
      </c>
      <c r="AE13" s="3">
        <v>76.658491877071754</v>
      </c>
      <c r="AF13" s="3">
        <v>80.444755689814855</v>
      </c>
      <c r="AG13" s="3">
        <v>85.111263870845988</v>
      </c>
      <c r="AH13" s="3">
        <v>89.777772051877108</v>
      </c>
      <c r="AI13" s="3">
        <v>94.888886025938547</v>
      </c>
      <c r="AJ13" s="3">
        <f>C13</f>
        <v>100</v>
      </c>
    </row>
    <row r="14" spans="1:36" x14ac:dyDescent="0.25">
      <c r="B14" s="3"/>
      <c r="C14" s="3"/>
      <c r="D14" s="3"/>
      <c r="E14" s="3"/>
    </row>
    <row r="15" spans="1:36" x14ac:dyDescent="0.25">
      <c r="B15" s="3"/>
      <c r="C15" s="3"/>
      <c r="D15" s="3"/>
      <c r="E15" s="3" t="s">
        <v>10</v>
      </c>
      <c r="G15" s="3">
        <f t="shared" ref="G15:AI15" si="1">G13+(($C$10*$C$5)/($C$9*$C$8))*((H13-2*G13+F13)/($C$4^2))</f>
        <v>280.34602914679897</v>
      </c>
      <c r="H15" s="3">
        <f t="shared" si="1"/>
        <v>261.01895071136693</v>
      </c>
      <c r="I15" s="3">
        <f t="shared" si="1"/>
        <v>241.69187227593488</v>
      </c>
      <c r="J15" s="3">
        <f t="shared" si="1"/>
        <v>223.32288929753321</v>
      </c>
      <c r="K15" s="3">
        <f t="shared" si="1"/>
        <v>204.95390631913145</v>
      </c>
      <c r="L15" s="3">
        <f t="shared" si="1"/>
        <v>188.10922208123708</v>
      </c>
      <c r="M15" s="3">
        <f t="shared" si="1"/>
        <v>171.26453784334268</v>
      </c>
      <c r="N15" s="3">
        <f t="shared" si="1"/>
        <v>156.41062560854434</v>
      </c>
      <c r="O15" s="3">
        <f t="shared" si="1"/>
        <v>141.55671337374596</v>
      </c>
      <c r="P15" s="3">
        <f t="shared" si="1"/>
        <v>129.0367150615379</v>
      </c>
      <c r="Q15" s="3">
        <f t="shared" si="1"/>
        <v>116.51671674932982</v>
      </c>
      <c r="R15" s="3">
        <f t="shared" si="1"/>
        <v>106.53935305104244</v>
      </c>
      <c r="S15" s="3">
        <f t="shared" si="1"/>
        <v>96.561989352755049</v>
      </c>
      <c r="T15" s="3">
        <f t="shared" si="1"/>
        <v>89.202264063403447</v>
      </c>
      <c r="U15" s="3">
        <f t="shared" si="1"/>
        <v>81.842538774051832</v>
      </c>
      <c r="V15" s="3">
        <f t="shared" si="1"/>
        <v>77.051862944328036</v>
      </c>
      <c r="W15" s="3">
        <f t="shared" si="1"/>
        <v>72.26118711460424</v>
      </c>
      <c r="X15" s="3">
        <f t="shared" si="1"/>
        <v>69.883647818529624</v>
      </c>
      <c r="Y15" s="3">
        <f t="shared" si="1"/>
        <v>67.506108522455037</v>
      </c>
      <c r="Z15" s="3">
        <f t="shared" si="1"/>
        <v>67.297535274227698</v>
      </c>
      <c r="AA15" s="3">
        <f t="shared" si="1"/>
        <v>67.088962026000345</v>
      </c>
      <c r="AB15" s="3">
        <f t="shared" si="1"/>
        <v>68.736044613043219</v>
      </c>
      <c r="AC15" s="3">
        <f t="shared" si="1"/>
        <v>70.383127200086093</v>
      </c>
      <c r="AD15" s="3">
        <f t="shared" si="1"/>
        <v>73.520809538578931</v>
      </c>
      <c r="AE15" s="3">
        <f t="shared" si="1"/>
        <v>76.658491877071754</v>
      </c>
      <c r="AF15" s="3">
        <f t="shared" si="1"/>
        <v>80.884877873958871</v>
      </c>
      <c r="AG15" s="3">
        <f t="shared" si="1"/>
        <v>85.111263870845988</v>
      </c>
      <c r="AH15" s="3">
        <f t="shared" si="1"/>
        <v>90.000074948392268</v>
      </c>
      <c r="AI15" s="3">
        <f t="shared" si="1"/>
        <v>94.888886025938547</v>
      </c>
    </row>
    <row r="16" spans="1:36" x14ac:dyDescent="0.25">
      <c r="E16" s="8"/>
    </row>
  </sheetData>
  <conditionalFormatting sqref="F13 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AJ16"/>
  <sheetViews>
    <sheetView workbookViewId="0">
      <selection activeCell="G13" sqref="G13:AI13"/>
    </sheetView>
  </sheetViews>
  <sheetFormatPr defaultRowHeight="15" x14ac:dyDescent="0.25"/>
  <cols>
    <col min="3" max="3" width="9.5703125" bestFit="1" customWidth="1"/>
    <col min="5" max="5" width="9.140625" customWidth="1"/>
    <col min="6" max="36" width="6.85546875" style="3" customWidth="1"/>
  </cols>
  <sheetData>
    <row r="3" spans="1:36" x14ac:dyDescent="0.25">
      <c r="B3" s="5" t="s">
        <v>0</v>
      </c>
      <c r="C3" s="5">
        <v>0.1</v>
      </c>
      <c r="D3" s="3"/>
      <c r="E3" s="3"/>
    </row>
    <row r="4" spans="1:36" x14ac:dyDescent="0.25">
      <c r="B4" s="5" t="s">
        <v>1</v>
      </c>
      <c r="C4" s="6">
        <f>C3/30</f>
        <v>3.3333333333333335E-3</v>
      </c>
      <c r="D4" s="3"/>
      <c r="E4" s="3"/>
    </row>
    <row r="5" spans="1:36" x14ac:dyDescent="0.25">
      <c r="B5" s="5" t="s">
        <v>2</v>
      </c>
      <c r="C5" s="6">
        <f>(C9*C8*C4^2)/(2*C10)</f>
        <v>0.4333333333333334</v>
      </c>
      <c r="D5" s="3"/>
      <c r="E5" s="3"/>
    </row>
    <row r="6" spans="1:36" x14ac:dyDescent="0.25">
      <c r="A6" s="4"/>
      <c r="B6" s="5" t="s">
        <v>3</v>
      </c>
      <c r="C6" s="5">
        <v>300</v>
      </c>
      <c r="D6" s="3">
        <v>300.30000000000007</v>
      </c>
      <c r="E6" s="3"/>
    </row>
    <row r="7" spans="1:36" x14ac:dyDescent="0.25">
      <c r="B7" s="7"/>
      <c r="C7" s="7"/>
      <c r="D7" s="7"/>
      <c r="E7" s="3"/>
    </row>
    <row r="8" spans="1:36" x14ac:dyDescent="0.25">
      <c r="B8" s="5" t="s">
        <v>4</v>
      </c>
      <c r="C8" s="5">
        <v>460</v>
      </c>
      <c r="D8" s="3"/>
      <c r="E8" s="3"/>
    </row>
    <row r="9" spans="1:36" x14ac:dyDescent="0.25">
      <c r="B9" s="5" t="s">
        <v>5</v>
      </c>
      <c r="C9" s="5">
        <v>7800</v>
      </c>
      <c r="D9" s="3"/>
      <c r="E9" s="3"/>
    </row>
    <row r="10" spans="1:36" x14ac:dyDescent="0.25">
      <c r="A10" s="4"/>
      <c r="B10" s="5" t="s">
        <v>6</v>
      </c>
      <c r="C10" s="5">
        <v>46</v>
      </c>
      <c r="D10" s="3"/>
      <c r="E10" s="3"/>
    </row>
    <row r="11" spans="1:36" x14ac:dyDescent="0.25">
      <c r="B11" s="7"/>
      <c r="C11" s="7"/>
      <c r="D11" s="7"/>
      <c r="E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11</v>
      </c>
      <c r="C12" s="5">
        <v>92000</v>
      </c>
      <c r="D12" s="3"/>
      <c r="E12" s="3" t="s">
        <v>7</v>
      </c>
      <c r="F12" s="2">
        <v>0</v>
      </c>
      <c r="G12" s="2">
        <f t="shared" ref="G12:AJ12" si="0">F12+$C$4</f>
        <v>3.3333333333333335E-3</v>
      </c>
      <c r="H12" s="2">
        <f t="shared" si="0"/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5" t="s">
        <v>9</v>
      </c>
      <c r="C13" s="5">
        <v>100</v>
      </c>
      <c r="D13" s="3"/>
      <c r="E13" s="3" t="s">
        <v>8</v>
      </c>
      <c r="F13" s="3">
        <f>(F16/$C$10)*$C$4+G13</f>
        <v>211.94184029553423</v>
      </c>
      <c r="G13" s="3">
        <v>205.27517362886758</v>
      </c>
      <c r="H13" s="3">
        <v>198.8584550239982</v>
      </c>
      <c r="I13" s="3">
        <v>192.68957755255519</v>
      </c>
      <c r="J13" s="3">
        <v>186.76991249534154</v>
      </c>
      <c r="K13" s="3">
        <v>181.09321030506484</v>
      </c>
      <c r="L13" s="3">
        <v>175.66210367876468</v>
      </c>
      <c r="M13" s="3">
        <v>170.46641121788946</v>
      </c>
      <c r="N13" s="3">
        <v>165.50981281792511</v>
      </c>
      <c r="O13" s="3">
        <v>160.77853681899518</v>
      </c>
      <c r="P13" s="3">
        <v>156.27700251108848</v>
      </c>
      <c r="Q13" s="3">
        <v>151.98830629953903</v>
      </c>
      <c r="R13" s="3">
        <v>147.91722100196972</v>
      </c>
      <c r="S13" s="3">
        <v>144.04426730863821</v>
      </c>
      <c r="T13" s="3">
        <v>140.37412719365619</v>
      </c>
      <c r="U13" s="3">
        <v>136.88537697319316</v>
      </c>
      <c r="V13" s="3">
        <v>133.58212758747146</v>
      </c>
      <c r="W13" s="3">
        <v>130.44169174154348</v>
      </c>
      <c r="X13" s="3">
        <v>127.46711808772818</v>
      </c>
      <c r="Y13" s="3">
        <v>124.63515840634811</v>
      </c>
      <c r="Z13" s="3">
        <v>121.94732241583469</v>
      </c>
      <c r="AA13" s="3">
        <v>119.38049748840369</v>
      </c>
      <c r="AB13" s="3">
        <v>116.93421775794343</v>
      </c>
      <c r="AC13" s="3">
        <v>114.58616907492981</v>
      </c>
      <c r="AD13" s="3">
        <v>112.33353724472273</v>
      </c>
      <c r="AE13" s="3">
        <v>110.15541021941058</v>
      </c>
      <c r="AF13" s="3">
        <v>108.04633794557506</v>
      </c>
      <c r="AG13" s="3">
        <v>105.98733214157019</v>
      </c>
      <c r="AH13" s="3">
        <v>103.97012226799747</v>
      </c>
      <c r="AI13" s="3">
        <v>101.97806473088437</v>
      </c>
      <c r="AJ13" s="3">
        <v>100</v>
      </c>
    </row>
    <row r="14" spans="1:36" x14ac:dyDescent="0.25">
      <c r="B14" s="3"/>
      <c r="C14" s="3"/>
      <c r="D14" s="3"/>
      <c r="E14" s="3"/>
    </row>
    <row r="15" spans="1:36" x14ac:dyDescent="0.25">
      <c r="B15" s="3"/>
      <c r="C15" s="3"/>
      <c r="D15" s="3"/>
      <c r="E15" s="3" t="s">
        <v>10</v>
      </c>
      <c r="G15" s="3">
        <f>G13+(($C$10*$C$5)/($C$9*$C$8))*((H13-2*G13+F13)/($C$4^2))</f>
        <v>205.40014765976622</v>
      </c>
      <c r="H15" s="3">
        <f t="shared" ref="H15:AI15" si="1">H13+(($C$10*$C$5)/($C$9*$C$8))*((I13-2*H13+G13)/($C$4^2))</f>
        <v>198.9823755907114</v>
      </c>
      <c r="I15" s="3">
        <f t="shared" si="1"/>
        <v>192.81418375966987</v>
      </c>
      <c r="J15" s="3">
        <f t="shared" si="1"/>
        <v>186.89139392881003</v>
      </c>
      <c r="K15" s="3">
        <f t="shared" si="1"/>
        <v>181.2160080870531</v>
      </c>
      <c r="L15" s="3">
        <f t="shared" si="1"/>
        <v>175.77981076147714</v>
      </c>
      <c r="M15" s="3">
        <f t="shared" si="1"/>
        <v>170.58595824834489</v>
      </c>
      <c r="N15" s="3">
        <f t="shared" si="1"/>
        <v>165.62247401844232</v>
      </c>
      <c r="O15" s="3">
        <f t="shared" si="1"/>
        <v>160.89340766450681</v>
      </c>
      <c r="P15" s="3">
        <f t="shared" si="1"/>
        <v>156.38342155926711</v>
      </c>
      <c r="Q15" s="3">
        <f t="shared" si="1"/>
        <v>152.0971117565291</v>
      </c>
      <c r="R15" s="3">
        <f t="shared" si="1"/>
        <v>148.01628680408862</v>
      </c>
      <c r="S15" s="3">
        <f t="shared" si="1"/>
        <v>144.14567409781296</v>
      </c>
      <c r="T15" s="3">
        <f t="shared" si="1"/>
        <v>140.46482214091569</v>
      </c>
      <c r="U15" s="3">
        <f t="shared" si="1"/>
        <v>136.97812739056383</v>
      </c>
      <c r="V15" s="3">
        <f t="shared" si="1"/>
        <v>133.66353435736832</v>
      </c>
      <c r="W15" s="3">
        <f t="shared" si="1"/>
        <v>130.52462283759982</v>
      </c>
      <c r="X15" s="3">
        <f t="shared" si="1"/>
        <v>127.5384250739458</v>
      </c>
      <c r="Y15" s="3">
        <f t="shared" si="1"/>
        <v>124.70722025178144</v>
      </c>
      <c r="Z15" s="3">
        <f t="shared" si="1"/>
        <v>122.0078279473759</v>
      </c>
      <c r="AA15" s="3">
        <f t="shared" si="1"/>
        <v>119.44077008688906</v>
      </c>
      <c r="AB15" s="3">
        <f t="shared" si="1"/>
        <v>116.98333328166676</v>
      </c>
      <c r="AC15" s="3">
        <f t="shared" si="1"/>
        <v>114.63387750133307</v>
      </c>
      <c r="AD15" s="3">
        <f t="shared" si="1"/>
        <v>112.3707896471702</v>
      </c>
      <c r="AE15" s="3">
        <f t="shared" si="1"/>
        <v>110.1899375951489</v>
      </c>
      <c r="AF15" s="3">
        <f t="shared" si="1"/>
        <v>108.07137118049039</v>
      </c>
      <c r="AG15" s="3">
        <f t="shared" si="1"/>
        <v>106.00823010678627</v>
      </c>
      <c r="AH15" s="3">
        <f t="shared" si="1"/>
        <v>103.98269843622728</v>
      </c>
      <c r="AI15" s="3">
        <f t="shared" si="1"/>
        <v>101.98506113399873</v>
      </c>
    </row>
    <row r="16" spans="1:36" x14ac:dyDescent="0.25">
      <c r="E16" s="8" t="s">
        <v>12</v>
      </c>
      <c r="F16" s="3">
        <v>92000</v>
      </c>
      <c r="G16" s="3">
        <f>-$C$10*((G13-F13)/$C$4)</f>
        <v>91999.999999999869</v>
      </c>
      <c r="H16" s="3">
        <f t="shared" ref="H16:AI16" si="2">-$C$10*((H13-G13)/$C$4)</f>
        <v>88550.716747197352</v>
      </c>
      <c r="I16" s="3">
        <f t="shared" si="2"/>
        <v>85130.509105913545</v>
      </c>
      <c r="J16" s="3">
        <f t="shared" si="2"/>
        <v>81691.377789548351</v>
      </c>
      <c r="K16" s="3">
        <f t="shared" si="2"/>
        <v>78338.490225818459</v>
      </c>
      <c r="L16" s="3">
        <f t="shared" si="2"/>
        <v>74949.271442942263</v>
      </c>
      <c r="M16" s="3">
        <f t="shared" si="2"/>
        <v>71700.555960078054</v>
      </c>
      <c r="N16" s="3">
        <f t="shared" si="2"/>
        <v>68401.057919508021</v>
      </c>
      <c r="O16" s="3">
        <f t="shared" si="2"/>
        <v>65291.608785233038</v>
      </c>
      <c r="P16" s="3">
        <f t="shared" si="2"/>
        <v>62121.173449112393</v>
      </c>
      <c r="Q16" s="3">
        <f t="shared" si="2"/>
        <v>59184.007719382411</v>
      </c>
      <c r="R16" s="3">
        <f t="shared" si="2"/>
        <v>56180.977106456499</v>
      </c>
      <c r="S16" s="3">
        <f t="shared" si="2"/>
        <v>53446.760967974842</v>
      </c>
      <c r="T16" s="3">
        <f t="shared" si="2"/>
        <v>50647.933586751853</v>
      </c>
      <c r="U16" s="3">
        <f t="shared" si="2"/>
        <v>48144.753042389842</v>
      </c>
      <c r="V16" s="3">
        <f t="shared" si="2"/>
        <v>45584.841522959439</v>
      </c>
      <c r="W16" s="3">
        <f t="shared" si="2"/>
        <v>43338.014673806145</v>
      </c>
      <c r="X16" s="3">
        <f t="shared" si="2"/>
        <v>41049.11642265111</v>
      </c>
      <c r="Y16" s="3">
        <f t="shared" si="2"/>
        <v>39081.043603044964</v>
      </c>
      <c r="Z16" s="3">
        <f t="shared" si="2"/>
        <v>37092.136669085201</v>
      </c>
      <c r="AA16" s="3">
        <f t="shared" si="2"/>
        <v>35422.1839985478</v>
      </c>
      <c r="AB16" s="3">
        <f t="shared" si="2"/>
        <v>33758.660280351607</v>
      </c>
      <c r="AC16" s="3">
        <f t="shared" si="2"/>
        <v>32403.071825587896</v>
      </c>
      <c r="AD16" s="3">
        <f t="shared" si="2"/>
        <v>31086.319256857689</v>
      </c>
      <c r="AE16" s="3">
        <f t="shared" si="2"/>
        <v>30058.152949307674</v>
      </c>
      <c r="AF16" s="3">
        <f t="shared" si="2"/>
        <v>29105.19737893021</v>
      </c>
      <c r="AG16" s="3">
        <f t="shared" si="2"/>
        <v>28414.28009526719</v>
      </c>
      <c r="AH16" s="3">
        <f t="shared" si="2"/>
        <v>27837.496255303598</v>
      </c>
      <c r="AI16" s="3">
        <f t="shared" si="2"/>
        <v>27490.394012160748</v>
      </c>
    </row>
  </sheetData>
  <conditionalFormatting sqref="F13 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2D33-9771-414B-BAB3-B77EFAF3BB4B}">
  <sheetPr codeName="Лист3"/>
  <dimension ref="A3:AJ19"/>
  <sheetViews>
    <sheetView tabSelected="1" workbookViewId="0">
      <selection activeCell="Z27" sqref="Z27"/>
    </sheetView>
  </sheetViews>
  <sheetFormatPr defaultRowHeight="15" x14ac:dyDescent="0.25"/>
  <cols>
    <col min="3" max="3" width="10" bestFit="1" customWidth="1"/>
    <col min="6" max="36" width="6.85546875" style="3" customWidth="1"/>
  </cols>
  <sheetData>
    <row r="3" spans="1:36" x14ac:dyDescent="0.25">
      <c r="B3" s="5" t="s">
        <v>0</v>
      </c>
      <c r="C3" s="5">
        <v>0.1</v>
      </c>
      <c r="D3" s="3"/>
      <c r="E3" s="3"/>
    </row>
    <row r="4" spans="1:36" x14ac:dyDescent="0.25">
      <c r="B4" s="5" t="s">
        <v>1</v>
      </c>
      <c r="C4" s="6">
        <f>C3/30</f>
        <v>3.3333333333333335E-3</v>
      </c>
      <c r="D4" s="3"/>
      <c r="E4" s="3"/>
      <c r="F4" s="10" t="s">
        <v>20</v>
      </c>
    </row>
    <row r="5" spans="1:36" x14ac:dyDescent="0.25">
      <c r="B5" s="5" t="s">
        <v>2</v>
      </c>
      <c r="C5" s="6">
        <f>(C9*C8*C4^2)/(2*C10)</f>
        <v>0.4333333333333334</v>
      </c>
      <c r="D5" s="3"/>
      <c r="E5" s="3"/>
    </row>
    <row r="6" spans="1:36" x14ac:dyDescent="0.25">
      <c r="A6" s="4"/>
      <c r="B6" s="5" t="s">
        <v>3</v>
      </c>
      <c r="C6" s="5">
        <v>360</v>
      </c>
      <c r="D6" s="3">
        <v>360.10000000000008</v>
      </c>
      <c r="E6" s="3"/>
      <c r="F6" s="10" t="s">
        <v>21</v>
      </c>
    </row>
    <row r="7" spans="1:36" x14ac:dyDescent="0.25">
      <c r="B7" s="7"/>
      <c r="C7" s="7"/>
      <c r="D7" s="7"/>
      <c r="E7" s="3"/>
    </row>
    <row r="8" spans="1:36" x14ac:dyDescent="0.25">
      <c r="B8" s="5" t="s">
        <v>4</v>
      </c>
      <c r="C8" s="5">
        <v>460</v>
      </c>
      <c r="D8" s="3"/>
      <c r="E8" s="3"/>
      <c r="F8" s="10" t="s">
        <v>22</v>
      </c>
    </row>
    <row r="9" spans="1:36" x14ac:dyDescent="0.25">
      <c r="B9" s="5" t="s">
        <v>5</v>
      </c>
      <c r="C9" s="5">
        <v>7800</v>
      </c>
      <c r="D9" s="3"/>
      <c r="E9" s="3"/>
    </row>
    <row r="10" spans="1:36" x14ac:dyDescent="0.25">
      <c r="A10" s="4"/>
      <c r="B10" s="5" t="s">
        <v>6</v>
      </c>
      <c r="C10" s="5">
        <v>46</v>
      </c>
      <c r="D10" s="3"/>
      <c r="E10" s="3"/>
    </row>
    <row r="11" spans="1:36" x14ac:dyDescent="0.25">
      <c r="B11" s="7"/>
      <c r="C11" s="7"/>
      <c r="D11" s="7"/>
      <c r="E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18</v>
      </c>
      <c r="C12" s="5">
        <f>F13</f>
        <v>37.200534310165786</v>
      </c>
      <c r="D12" s="3"/>
      <c r="E12" s="3" t="s">
        <v>7</v>
      </c>
      <c r="F12" s="2">
        <v>0</v>
      </c>
      <c r="G12" s="2">
        <f t="shared" ref="G12:AJ12" si="0">F12+$C$4</f>
        <v>3.3333333333333335E-3</v>
      </c>
      <c r="H12" s="2">
        <f t="shared" si="0"/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9" t="s">
        <v>19</v>
      </c>
      <c r="C13" s="5">
        <f>AJ13</f>
        <v>27.80233531802747</v>
      </c>
      <c r="D13" s="3"/>
      <c r="E13" s="3" t="s">
        <v>8</v>
      </c>
      <c r="F13" s="3">
        <f>(C18*C15+C10*G13/C5)/(C18+C10/C5)</f>
        <v>37.200534310165786</v>
      </c>
      <c r="G13" s="3">
        <v>35.939664770717911</v>
      </c>
      <c r="H13" s="3">
        <v>34.744090916909073</v>
      </c>
      <c r="I13" s="3">
        <v>33.613873281411593</v>
      </c>
      <c r="J13" s="3">
        <v>32.549029434681877</v>
      </c>
      <c r="K13" s="3">
        <v>31.549628099848455</v>
      </c>
      <c r="L13" s="3">
        <v>30.615649611722741</v>
      </c>
      <c r="M13" s="3">
        <v>29.747169742116373</v>
      </c>
      <c r="N13" s="3">
        <v>28.944134403594731</v>
      </c>
      <c r="O13" s="3">
        <v>28.206624589807998</v>
      </c>
      <c r="P13" s="3">
        <v>27.534555858091608</v>
      </c>
      <c r="Q13" s="3">
        <v>26.928011996642397</v>
      </c>
      <c r="R13" s="3">
        <v>26.386883337213291</v>
      </c>
      <c r="S13" s="3">
        <v>25.911253547460831</v>
      </c>
      <c r="T13" s="3">
        <v>25.50099368512673</v>
      </c>
      <c r="U13" s="3">
        <v>25.156184029883121</v>
      </c>
      <c r="V13" s="3">
        <v>24.876682859809438</v>
      </c>
      <c r="W13" s="3">
        <v>24.662563598712939</v>
      </c>
      <c r="X13" s="3">
        <v>24.513678477636621</v>
      </c>
      <c r="Y13" s="3">
        <v>24.430090557539977</v>
      </c>
      <c r="Z13" s="3">
        <v>24.4116526777497</v>
      </c>
      <c r="AA13" s="3">
        <v>24.458414153531209</v>
      </c>
      <c r="AB13" s="3">
        <v>24.570234698636721</v>
      </c>
      <c r="AC13" s="3">
        <v>24.747146781475127</v>
      </c>
      <c r="AD13" s="3">
        <v>24.989022573642714</v>
      </c>
      <c r="AE13" s="3">
        <v>25.295875021736812</v>
      </c>
      <c r="AF13" s="3">
        <v>25.667593394434203</v>
      </c>
      <c r="AG13" s="3">
        <v>26.104168992546732</v>
      </c>
      <c r="AH13" s="3">
        <v>26.605511659767497</v>
      </c>
      <c r="AI13" s="3">
        <v>27.171589577346886</v>
      </c>
      <c r="AJ13" s="3">
        <f>(C19*C16+C10*AI13/C5)/(C18+C10/C5)</f>
        <v>27.80233531802747</v>
      </c>
    </row>
    <row r="14" spans="1:36" x14ac:dyDescent="0.25">
      <c r="B14" s="3"/>
      <c r="C14" s="3"/>
      <c r="D14" s="3"/>
      <c r="E14" s="3"/>
    </row>
    <row r="15" spans="1:36" x14ac:dyDescent="0.25">
      <c r="B15" s="5" t="s">
        <v>15</v>
      </c>
      <c r="C15" s="5">
        <v>1500</v>
      </c>
      <c r="D15" s="3"/>
      <c r="E15" s="3" t="s">
        <v>10</v>
      </c>
      <c r="G15" s="3">
        <f t="shared" ref="G15:AI15" si="1">G13+(($C$10*$C$5)/($C$9*$C$8))*((H13-2*G13+F13)/($C$4^2))</f>
        <v>35.972312613537426</v>
      </c>
      <c r="H15" s="3">
        <f t="shared" si="1"/>
        <v>34.776769026064756</v>
      </c>
      <c r="I15" s="3">
        <f t="shared" si="1"/>
        <v>33.646560175795472</v>
      </c>
      <c r="J15" s="3">
        <f t="shared" si="1"/>
        <v>32.581750690630024</v>
      </c>
      <c r="K15" s="3">
        <f t="shared" si="1"/>
        <v>31.582339523202311</v>
      </c>
      <c r="L15" s="3">
        <f t="shared" si="1"/>
        <v>30.648398920982416</v>
      </c>
      <c r="M15" s="3">
        <f t="shared" si="1"/>
        <v>29.779892007658738</v>
      </c>
      <c r="N15" s="3">
        <f t="shared" si="1"/>
        <v>28.976897165962185</v>
      </c>
      <c r="O15" s="3">
        <f t="shared" si="1"/>
        <v>28.239345130843169</v>
      </c>
      <c r="P15" s="3">
        <f t="shared" si="1"/>
        <v>27.567318293225199</v>
      </c>
      <c r="Q15" s="3">
        <f t="shared" si="1"/>
        <v>26.960719597652449</v>
      </c>
      <c r="R15" s="3">
        <f t="shared" si="1"/>
        <v>26.419632772051614</v>
      </c>
      <c r="S15" s="3">
        <f t="shared" si="1"/>
        <v>25.94393851117001</v>
      </c>
      <c r="T15" s="3">
        <f t="shared" si="1"/>
        <v>25.533718788671976</v>
      </c>
      <c r="U15" s="3">
        <f t="shared" si="1"/>
        <v>25.188838272468082</v>
      </c>
      <c r="V15" s="3">
        <f t="shared" si="1"/>
        <v>24.909373814298029</v>
      </c>
      <c r="W15" s="3">
        <f t="shared" si="1"/>
        <v>24.69518066872303</v>
      </c>
      <c r="X15" s="3">
        <f t="shared" si="1"/>
        <v>24.54632707812646</v>
      </c>
      <c r="Y15" s="3">
        <f t="shared" si="1"/>
        <v>24.462665577693159</v>
      </c>
      <c r="Z15" s="3">
        <f t="shared" si="1"/>
        <v>24.444252355535593</v>
      </c>
      <c r="AA15" s="3">
        <f t="shared" si="1"/>
        <v>24.490943688193212</v>
      </c>
      <c r="AB15" s="3">
        <f t="shared" si="1"/>
        <v>24.602780467503166</v>
      </c>
      <c r="AC15" s="3">
        <f t="shared" si="1"/>
        <v>24.779628636139719</v>
      </c>
      <c r="AD15" s="3">
        <f t="shared" si="1"/>
        <v>25.021510901605971</v>
      </c>
      <c r="AE15" s="3">
        <f t="shared" si="1"/>
        <v>25.32830798403846</v>
      </c>
      <c r="AF15" s="3">
        <f t="shared" si="1"/>
        <v>25.700022007141772</v>
      </c>
      <c r="AG15" s="3">
        <f t="shared" si="1"/>
        <v>26.13655252710085</v>
      </c>
      <c r="AH15" s="3">
        <f t="shared" si="1"/>
        <v>26.637879284946809</v>
      </c>
      <c r="AI15" s="3">
        <f t="shared" si="1"/>
        <v>27.203923488897484</v>
      </c>
    </row>
    <row r="16" spans="1:36" x14ac:dyDescent="0.25">
      <c r="B16" s="5" t="s">
        <v>14</v>
      </c>
      <c r="C16" s="5">
        <v>1000</v>
      </c>
      <c r="E16" s="8"/>
    </row>
    <row r="17" spans="2:3" x14ac:dyDescent="0.25">
      <c r="B17" s="3"/>
      <c r="C17" s="3"/>
    </row>
    <row r="18" spans="2:3" x14ac:dyDescent="0.25">
      <c r="B18" s="5" t="s">
        <v>16</v>
      </c>
      <c r="C18" s="5">
        <v>9.1499999999999998E-2</v>
      </c>
    </row>
    <row r="19" spans="2:3" x14ac:dyDescent="0.25">
      <c r="B19" s="9" t="s">
        <v>17</v>
      </c>
      <c r="C19" s="5">
        <v>6.9500000000000006E-2</v>
      </c>
    </row>
  </sheetData>
  <conditionalFormatting sqref="F13 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Граничное условие 1-го рода</vt:lpstr>
      <vt:lpstr>Граничное условие 2-го рода</vt:lpstr>
      <vt:lpstr>Граничное условие 3-го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Frazer</dc:creator>
  <cp:lastModifiedBy>Алексей Якимов</cp:lastModifiedBy>
  <dcterms:created xsi:type="dcterms:W3CDTF">2015-06-05T18:17:20Z</dcterms:created>
  <dcterms:modified xsi:type="dcterms:W3CDTF">2021-10-11T16:20:49Z</dcterms:modified>
</cp:coreProperties>
</file>