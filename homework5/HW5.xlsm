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ssauru-my.sharepoint.com/personal/2019-01500_students_ssau_ru/Documents/UNI/МСС/"/>
    </mc:Choice>
  </mc:AlternateContent>
  <xr:revisionPtr revIDLastSave="2" documentId="8_{C1CD8CB9-0F7D-49F1-821C-4BAE3AC2FB63}" xr6:coauthVersionLast="47" xr6:coauthVersionMax="47" xr10:uidLastSave="{A99E3B27-1C01-46BF-A4C4-16ECAFAB9FFA}"/>
  <bookViews>
    <workbookView xWindow="-120" yWindow="-120" windowWidth="29040" windowHeight="15840" xr2:uid="{EB53A27E-7765-46BF-AE24-700A2BF4E23A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2" i="1" l="1"/>
  <c r="Y20" i="1"/>
  <c r="Z20" i="1"/>
  <c r="AA20" i="1"/>
  <c r="AB20" i="1"/>
  <c r="AC20" i="1"/>
  <c r="AD20" i="1"/>
  <c r="AD21" i="1" s="1"/>
  <c r="AE20" i="1"/>
  <c r="AF20" i="1"/>
  <c r="AG20" i="1"/>
  <c r="AH20" i="1"/>
  <c r="AI20" i="1"/>
  <c r="AJ20" i="1"/>
  <c r="AJ21" i="1" s="1"/>
  <c r="AK20" i="1"/>
  <c r="AL20" i="1"/>
  <c r="AL21" i="1" s="1"/>
  <c r="X20" i="1"/>
  <c r="Y19" i="1"/>
  <c r="Y21" i="1" s="1"/>
  <c r="Z19" i="1"/>
  <c r="AA19" i="1"/>
  <c r="AB19" i="1"/>
  <c r="AC19" i="1"/>
  <c r="AD19" i="1"/>
  <c r="AE19" i="1"/>
  <c r="AE21" i="1" s="1"/>
  <c r="AF19" i="1"/>
  <c r="AG19" i="1"/>
  <c r="AG21" i="1" s="1"/>
  <c r="AH19" i="1"/>
  <c r="AI19" i="1"/>
  <c r="AJ19" i="1"/>
  <c r="AK19" i="1"/>
  <c r="AL19" i="1"/>
  <c r="X19" i="1"/>
  <c r="X21" i="1" s="1"/>
  <c r="Y17" i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K17" i="1" s="1"/>
  <c r="AL17" i="1" s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X16" i="1"/>
  <c r="AK21" i="1"/>
  <c r="AI21" i="1"/>
  <c r="AH21" i="1"/>
  <c r="AF21" i="1"/>
  <c r="AB21" i="1"/>
  <c r="AA21" i="1"/>
  <c r="Z21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X12" i="1"/>
  <c r="Z11" i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Y11" i="1"/>
  <c r="X11" i="1"/>
  <c r="AF9" i="1"/>
  <c r="AF10" i="1" s="1"/>
  <c r="AE9" i="1"/>
  <c r="AE10" i="1" s="1"/>
  <c r="AH9" i="1"/>
  <c r="AH10" i="1" s="1"/>
  <c r="AI9" i="1"/>
  <c r="AJ9" i="1"/>
  <c r="AJ10" i="1" s="1"/>
  <c r="AK9" i="1"/>
  <c r="AL9" i="1"/>
  <c r="AG9" i="1"/>
  <c r="AG10" i="1" s="1"/>
  <c r="AD9" i="1"/>
  <c r="AD10" i="1" s="1"/>
  <c r="AC9" i="1"/>
  <c r="Z9" i="1"/>
  <c r="AB9" i="1"/>
  <c r="AA9" i="1"/>
  <c r="Y10" i="1"/>
  <c r="Z10" i="1"/>
  <c r="AA10" i="1"/>
  <c r="AB10" i="1"/>
  <c r="AC10" i="1"/>
  <c r="AI10" i="1"/>
  <c r="AK10" i="1"/>
  <c r="AL10" i="1"/>
  <c r="X10" i="1"/>
  <c r="Y9" i="1"/>
  <c r="X9" i="1"/>
  <c r="AH8" i="1"/>
  <c r="AI8" i="1"/>
  <c r="AJ8" i="1"/>
  <c r="AK8" i="1"/>
  <c r="AL8" i="1"/>
  <c r="AG8" i="1"/>
  <c r="AF8" i="1"/>
  <c r="AE8" i="1"/>
  <c r="AD8" i="1"/>
  <c r="AC8" i="1"/>
  <c r="Y8" i="1"/>
  <c r="Z8" i="1"/>
  <c r="AA8" i="1"/>
  <c r="AB8" i="1"/>
  <c r="X8" i="1"/>
  <c r="Z6" i="1"/>
  <c r="AA6" i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Y6" i="1"/>
  <c r="O66" i="1"/>
  <c r="P66" i="1"/>
  <c r="Q66" i="1"/>
  <c r="R66" i="1"/>
  <c r="S66" i="1"/>
  <c r="T66" i="1"/>
  <c r="T53" i="1"/>
  <c r="O53" i="1"/>
  <c r="F48" i="1"/>
  <c r="P53" i="1"/>
  <c r="Q53" i="1"/>
  <c r="R53" i="1"/>
  <c r="S53" i="1"/>
  <c r="G48" i="1"/>
  <c r="H48" i="1"/>
  <c r="I48" i="1"/>
  <c r="AC21" i="1" l="1"/>
  <c r="Y22" i="1"/>
  <c r="X23" i="1"/>
  <c r="Z22" i="1" l="1"/>
  <c r="Y23" i="1"/>
  <c r="AA22" i="1" l="1"/>
  <c r="Z23" i="1"/>
  <c r="AB22" i="1" l="1"/>
  <c r="AA23" i="1"/>
  <c r="AC22" i="1" l="1"/>
  <c r="AB23" i="1"/>
  <c r="AC23" i="1" l="1"/>
  <c r="AD22" i="1"/>
  <c r="AD23" i="1" l="1"/>
  <c r="AE22" i="1"/>
  <c r="AF22" i="1" l="1"/>
  <c r="AE23" i="1"/>
  <c r="AG22" i="1" l="1"/>
  <c r="AF23" i="1"/>
  <c r="AH22" i="1" l="1"/>
  <c r="AG23" i="1"/>
  <c r="AI22" i="1" l="1"/>
  <c r="AH23" i="1"/>
  <c r="AJ22" i="1" l="1"/>
  <c r="AI23" i="1"/>
  <c r="AK22" i="1" l="1"/>
  <c r="AJ23" i="1"/>
  <c r="AK23" i="1" l="1"/>
  <c r="AL22" i="1"/>
  <c r="AL23" i="1" s="1"/>
  <c r="O13" i="1" l="1"/>
  <c r="P13" i="1"/>
  <c r="Q13" i="1"/>
  <c r="R13" i="1"/>
  <c r="S13" i="1"/>
  <c r="N12" i="1"/>
  <c r="O12" i="1"/>
  <c r="P12" i="1"/>
  <c r="Q12" i="1"/>
  <c r="R12" i="1"/>
  <c r="S12" i="1"/>
  <c r="M11" i="1"/>
  <c r="N11" i="1"/>
  <c r="O11" i="1"/>
  <c r="P11" i="1"/>
  <c r="Q11" i="1"/>
  <c r="R11" i="1"/>
  <c r="S11" i="1"/>
  <c r="L10" i="1"/>
  <c r="M10" i="1"/>
  <c r="N10" i="1"/>
  <c r="O10" i="1"/>
  <c r="P10" i="1"/>
  <c r="Q10" i="1"/>
  <c r="R10" i="1"/>
  <c r="S10" i="1"/>
  <c r="K9" i="1"/>
  <c r="L9" i="1"/>
  <c r="M9" i="1"/>
  <c r="N9" i="1"/>
  <c r="O9" i="1"/>
  <c r="P9" i="1"/>
  <c r="Q9" i="1"/>
  <c r="R9" i="1"/>
  <c r="S9" i="1"/>
  <c r="G6" i="1"/>
  <c r="H6" i="1"/>
  <c r="I6" i="1"/>
  <c r="J6" i="1"/>
  <c r="K6" i="1"/>
  <c r="L6" i="1"/>
  <c r="M6" i="1"/>
  <c r="N6" i="1"/>
  <c r="O6" i="1"/>
  <c r="P6" i="1"/>
  <c r="Q6" i="1"/>
  <c r="R6" i="1"/>
  <c r="S6" i="1"/>
  <c r="G7" i="1"/>
  <c r="H7" i="1"/>
  <c r="I7" i="1"/>
  <c r="J7" i="1"/>
  <c r="K7" i="1"/>
  <c r="L7" i="1"/>
  <c r="M7" i="1"/>
  <c r="N7" i="1"/>
  <c r="O7" i="1"/>
  <c r="P7" i="1"/>
  <c r="Q7" i="1"/>
  <c r="R7" i="1"/>
  <c r="S7" i="1"/>
  <c r="G8" i="1"/>
  <c r="H8" i="1"/>
  <c r="I8" i="1"/>
  <c r="J8" i="1"/>
  <c r="K8" i="1"/>
  <c r="L8" i="1"/>
  <c r="M8" i="1"/>
  <c r="N8" i="1"/>
  <c r="O8" i="1"/>
  <c r="P8" i="1"/>
  <c r="Q8" i="1"/>
  <c r="R8" i="1"/>
  <c r="S8" i="1"/>
  <c r="H5" i="1"/>
  <c r="I5" i="1"/>
  <c r="J5" i="1"/>
  <c r="K5" i="1"/>
  <c r="L5" i="1"/>
  <c r="M5" i="1"/>
  <c r="N5" i="1"/>
  <c r="O5" i="1"/>
  <c r="P5" i="1"/>
  <c r="Q5" i="1"/>
  <c r="R5" i="1"/>
  <c r="S5" i="1"/>
  <c r="G5" i="1"/>
  <c r="G15" i="1"/>
  <c r="H15" i="1" s="1"/>
  <c r="I15" i="1" s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E13" i="1"/>
  <c r="E12" i="1" s="1"/>
  <c r="E11" i="1" s="1"/>
  <c r="E10" i="1" s="1"/>
  <c r="E9" i="1" s="1"/>
  <c r="E8" i="1" s="1"/>
  <c r="E7" i="1" s="1"/>
  <c r="E6" i="1" s="1"/>
  <c r="E5" i="1" s="1"/>
  <c r="E4" i="1" s="1"/>
  <c r="B6" i="1" s="1"/>
  <c r="T13" i="1" s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F8" i="1"/>
  <c r="T52" i="1" l="1"/>
  <c r="S52" i="1"/>
  <c r="T40" i="1"/>
  <c r="T12" i="1"/>
  <c r="I46" i="1"/>
  <c r="J34" i="1"/>
  <c r="J60" i="1" s="1"/>
  <c r="M37" i="1"/>
  <c r="L49" i="1"/>
  <c r="L35" i="1"/>
  <c r="K47" i="1"/>
  <c r="S36" i="1"/>
  <c r="R48" i="1"/>
  <c r="K49" i="1"/>
  <c r="L37" i="1"/>
  <c r="L63" i="1" s="1"/>
  <c r="Q40" i="1"/>
  <c r="P52" i="1"/>
  <c r="Q31" i="1"/>
  <c r="Q30" i="1"/>
  <c r="P43" i="1"/>
  <c r="I31" i="1"/>
  <c r="I30" i="1"/>
  <c r="H43" i="1"/>
  <c r="N44" i="1"/>
  <c r="O32" i="1"/>
  <c r="S35" i="1"/>
  <c r="R47" i="1"/>
  <c r="K35" i="1"/>
  <c r="K61" i="1" s="1"/>
  <c r="J47" i="1"/>
  <c r="P34" i="1"/>
  <c r="O46" i="1"/>
  <c r="H34" i="1"/>
  <c r="M33" i="1"/>
  <c r="L45" i="1"/>
  <c r="Q48" i="1"/>
  <c r="R36" i="1"/>
  <c r="R62" i="1" s="1"/>
  <c r="R49" i="1"/>
  <c r="S37" i="1"/>
  <c r="R50" i="1"/>
  <c r="S38" i="1"/>
  <c r="Q51" i="1"/>
  <c r="R39" i="1"/>
  <c r="P40" i="1"/>
  <c r="O52" i="1"/>
  <c r="R43" i="1"/>
  <c r="S30" i="1"/>
  <c r="S31" i="1"/>
  <c r="Q46" i="1"/>
  <c r="R34" i="1"/>
  <c r="R60" i="1" s="1"/>
  <c r="L36" i="1"/>
  <c r="K48" i="1"/>
  <c r="P46" i="1"/>
  <c r="Q34" i="1"/>
  <c r="M44" i="1"/>
  <c r="N32" i="1"/>
  <c r="N58" i="1" s="1"/>
  <c r="O34" i="1"/>
  <c r="N46" i="1"/>
  <c r="G34" i="1"/>
  <c r="L33" i="1"/>
  <c r="K45" i="1"/>
  <c r="P48" i="1"/>
  <c r="Q36" i="1"/>
  <c r="Q49" i="1"/>
  <c r="R37" i="1"/>
  <c r="Q50" i="1"/>
  <c r="R38" i="1"/>
  <c r="P51" i="1"/>
  <c r="Q39" i="1"/>
  <c r="O40" i="1"/>
  <c r="N52" i="1"/>
  <c r="P44" i="1"/>
  <c r="Q32" i="1"/>
  <c r="R30" i="1"/>
  <c r="R56" i="1" s="1"/>
  <c r="R31" i="1"/>
  <c r="Q43" i="1"/>
  <c r="O44" i="1"/>
  <c r="P32" i="1"/>
  <c r="I34" i="1"/>
  <c r="H46" i="1"/>
  <c r="J48" i="1"/>
  <c r="K36" i="1"/>
  <c r="K62" i="1" s="1"/>
  <c r="P31" i="1"/>
  <c r="O43" i="1"/>
  <c r="P30" i="1"/>
  <c r="P56" i="1" s="1"/>
  <c r="H31" i="1"/>
  <c r="H30" i="1"/>
  <c r="G43" i="1"/>
  <c r="J35" i="1"/>
  <c r="J61" i="1" s="1"/>
  <c r="I47" i="1"/>
  <c r="G31" i="1"/>
  <c r="F43" i="1"/>
  <c r="G30" i="1"/>
  <c r="L44" i="1"/>
  <c r="M32" i="1"/>
  <c r="P47" i="1"/>
  <c r="Q35" i="1"/>
  <c r="Q61" i="1" s="1"/>
  <c r="I35" i="1"/>
  <c r="I61" i="1" s="1"/>
  <c r="H47" i="1"/>
  <c r="N34" i="1"/>
  <c r="M46" i="1"/>
  <c r="R45" i="1"/>
  <c r="S33" i="1"/>
  <c r="K33" i="1"/>
  <c r="K59" i="1" s="1"/>
  <c r="J45" i="1"/>
  <c r="O48" i="1"/>
  <c r="P36" i="1"/>
  <c r="P62" i="1" s="1"/>
  <c r="P49" i="1"/>
  <c r="Q37" i="1"/>
  <c r="Q63" i="1" s="1"/>
  <c r="P50" i="1"/>
  <c r="Q38" i="1"/>
  <c r="Q64" i="1" s="1"/>
  <c r="O51" i="1"/>
  <c r="P39" i="1"/>
  <c r="P65" i="1" s="1"/>
  <c r="H44" i="1"/>
  <c r="I32" i="1"/>
  <c r="N45" i="1"/>
  <c r="O33" i="1"/>
  <c r="M38" i="1"/>
  <c r="L50" i="1"/>
  <c r="J30" i="1"/>
  <c r="J56" i="1" s="1"/>
  <c r="J31" i="1"/>
  <c r="I43" i="1"/>
  <c r="H32" i="1"/>
  <c r="N33" i="1"/>
  <c r="M45" i="1"/>
  <c r="S39" i="1"/>
  <c r="S65" i="1" s="1"/>
  <c r="R51" i="1"/>
  <c r="Q47" i="1"/>
  <c r="R35" i="1"/>
  <c r="R61" i="1" s="1"/>
  <c r="O31" i="1"/>
  <c r="O57" i="1" s="1"/>
  <c r="N43" i="1"/>
  <c r="O30" i="1"/>
  <c r="O56" i="1" s="1"/>
  <c r="M43" i="1"/>
  <c r="N30" i="1"/>
  <c r="N56" i="1" s="1"/>
  <c r="N31" i="1"/>
  <c r="N57" i="1" s="1"/>
  <c r="G32" i="1"/>
  <c r="K44" i="1"/>
  <c r="L32" i="1"/>
  <c r="L58" i="1" s="1"/>
  <c r="O47" i="1"/>
  <c r="P35" i="1"/>
  <c r="P61" i="1" s="1"/>
  <c r="H35" i="1"/>
  <c r="H61" i="1" s="1"/>
  <c r="G47" i="1"/>
  <c r="L46" i="1"/>
  <c r="M34" i="1"/>
  <c r="M60" i="1" s="1"/>
  <c r="Q45" i="1"/>
  <c r="R33" i="1"/>
  <c r="R59" i="1" s="1"/>
  <c r="I45" i="1"/>
  <c r="J33" i="1"/>
  <c r="N48" i="1"/>
  <c r="O36" i="1"/>
  <c r="P37" i="1"/>
  <c r="P63" i="1" s="1"/>
  <c r="O49" i="1"/>
  <c r="O50" i="1"/>
  <c r="P38" i="1"/>
  <c r="P64" i="1" s="1"/>
  <c r="O39" i="1"/>
  <c r="O65" i="1" s="1"/>
  <c r="N51" i="1"/>
  <c r="K30" i="1"/>
  <c r="K31" i="1"/>
  <c r="J43" i="1"/>
  <c r="L47" i="1"/>
  <c r="M35" i="1"/>
  <c r="G33" i="1"/>
  <c r="R40" i="1"/>
  <c r="Q52" i="1"/>
  <c r="F7" i="1"/>
  <c r="F46" i="1" s="1"/>
  <c r="F35" i="1"/>
  <c r="F61" i="1" s="1"/>
  <c r="L43" i="1"/>
  <c r="M30" i="1"/>
  <c r="M56" i="1" s="1"/>
  <c r="M31" i="1"/>
  <c r="M57" i="1" s="1"/>
  <c r="R44" i="1"/>
  <c r="S32" i="1"/>
  <c r="K32" i="1"/>
  <c r="K58" i="1" s="1"/>
  <c r="J44" i="1"/>
  <c r="N47" i="1"/>
  <c r="O35" i="1"/>
  <c r="O61" i="1" s="1"/>
  <c r="G35" i="1"/>
  <c r="G61" i="1" s="1"/>
  <c r="F47" i="1"/>
  <c r="K46" i="1"/>
  <c r="L34" i="1"/>
  <c r="P45" i="1"/>
  <c r="Q33" i="1"/>
  <c r="Q59" i="1" s="1"/>
  <c r="H45" i="1"/>
  <c r="I33" i="1"/>
  <c r="I59" i="1" s="1"/>
  <c r="M48" i="1"/>
  <c r="N36" i="1"/>
  <c r="N62" i="1" s="1"/>
  <c r="O37" i="1"/>
  <c r="O63" i="1" s="1"/>
  <c r="N49" i="1"/>
  <c r="O38" i="1"/>
  <c r="N50" i="1"/>
  <c r="M51" i="1"/>
  <c r="N39" i="1"/>
  <c r="N65" i="1" s="1"/>
  <c r="S43" i="1"/>
  <c r="T43" i="1"/>
  <c r="K43" i="1"/>
  <c r="L30" i="1"/>
  <c r="L31" i="1"/>
  <c r="L57" i="1" s="1"/>
  <c r="R32" i="1"/>
  <c r="R58" i="1" s="1"/>
  <c r="Q44" i="1"/>
  <c r="J32" i="1"/>
  <c r="J58" i="1" s="1"/>
  <c r="I44" i="1"/>
  <c r="M47" i="1"/>
  <c r="N35" i="1"/>
  <c r="N61" i="1" s="1"/>
  <c r="R46" i="1"/>
  <c r="S34" i="1"/>
  <c r="J46" i="1"/>
  <c r="K34" i="1"/>
  <c r="K60" i="1" s="1"/>
  <c r="O45" i="1"/>
  <c r="P33" i="1"/>
  <c r="P59" i="1" s="1"/>
  <c r="H33" i="1"/>
  <c r="M36" i="1"/>
  <c r="M62" i="1" s="1"/>
  <c r="L48" i="1"/>
  <c r="N37" i="1"/>
  <c r="N63" i="1" s="1"/>
  <c r="M49" i="1"/>
  <c r="N38" i="1"/>
  <c r="N64" i="1" s="1"/>
  <c r="M50" i="1"/>
  <c r="S40" i="1"/>
  <c r="R52" i="1"/>
  <c r="M59" i="1" l="1"/>
  <c r="O58" i="1"/>
  <c r="H59" i="1"/>
  <c r="M61" i="1"/>
  <c r="J57" i="1"/>
  <c r="Q58" i="1"/>
  <c r="R63" i="1"/>
  <c r="O60" i="1"/>
  <c r="H60" i="1"/>
  <c r="M63" i="1"/>
  <c r="M58" i="1"/>
  <c r="H56" i="1"/>
  <c r="I60" i="1"/>
  <c r="Q62" i="1"/>
  <c r="S56" i="1"/>
  <c r="P60" i="1"/>
  <c r="I56" i="1"/>
  <c r="K57" i="1"/>
  <c r="O62" i="1"/>
  <c r="M64" i="1"/>
  <c r="H57" i="1"/>
  <c r="P58" i="1"/>
  <c r="Q60" i="1"/>
  <c r="I57" i="1"/>
  <c r="K56" i="1"/>
  <c r="O59" i="1"/>
  <c r="G56" i="1"/>
  <c r="Q65" i="1"/>
  <c r="O64" i="1"/>
  <c r="J59" i="1"/>
  <c r="N59" i="1"/>
  <c r="N60" i="1"/>
  <c r="L59" i="1"/>
  <c r="Q56" i="1"/>
  <c r="L56" i="1"/>
  <c r="L60" i="1"/>
  <c r="H58" i="1"/>
  <c r="I58" i="1"/>
  <c r="P57" i="1"/>
  <c r="R57" i="1"/>
  <c r="R64" i="1"/>
  <c r="G60" i="1"/>
  <c r="L62" i="1"/>
  <c r="R65" i="1"/>
  <c r="Q57" i="1"/>
  <c r="L61" i="1"/>
  <c r="G46" i="1"/>
  <c r="G59" i="1" s="1"/>
  <c r="T11" i="1"/>
  <c r="S51" i="1"/>
  <c r="S64" i="1" s="1"/>
  <c r="T51" i="1"/>
  <c r="T39" i="1"/>
  <c r="T65" i="1" s="1"/>
  <c r="F6" i="1"/>
  <c r="F34" i="1"/>
  <c r="F60" i="1" s="1"/>
  <c r="F5" i="1" l="1"/>
  <c r="F33" i="1"/>
  <c r="F59" i="1" s="1"/>
  <c r="F31" i="1"/>
  <c r="F45" i="1"/>
  <c r="G45" i="1"/>
  <c r="G58" i="1" s="1"/>
  <c r="T10" i="1"/>
  <c r="S50" i="1"/>
  <c r="S63" i="1" s="1"/>
  <c r="T50" i="1"/>
  <c r="T38" i="1"/>
  <c r="T64" i="1" s="1"/>
  <c r="T9" i="1" l="1"/>
  <c r="T37" i="1"/>
  <c r="T63" i="1" s="1"/>
  <c r="S49" i="1"/>
  <c r="S62" i="1" s="1"/>
  <c r="T49" i="1"/>
  <c r="F32" i="1"/>
  <c r="F58" i="1" s="1"/>
  <c r="F30" i="1"/>
  <c r="F56" i="1" s="1"/>
  <c r="G44" i="1"/>
  <c r="G57" i="1" s="1"/>
  <c r="F44" i="1"/>
  <c r="F57" i="1" s="1"/>
  <c r="T8" i="1" l="1"/>
  <c r="T36" i="1"/>
  <c r="T62" i="1" s="1"/>
  <c r="T48" i="1"/>
  <c r="S48" i="1"/>
  <c r="S61" i="1" s="1"/>
  <c r="T7" i="1" l="1"/>
  <c r="T35" i="1"/>
  <c r="T61" i="1" s="1"/>
  <c r="T47" i="1"/>
  <c r="S47" i="1"/>
  <c r="S60" i="1" s="1"/>
  <c r="T6" i="1" l="1"/>
  <c r="T34" i="1"/>
  <c r="T60" i="1" s="1"/>
  <c r="T46" i="1"/>
  <c r="S46" i="1"/>
  <c r="S59" i="1" s="1"/>
  <c r="T5" i="1" l="1"/>
  <c r="T45" i="1"/>
  <c r="T33" i="1"/>
  <c r="T59" i="1" s="1"/>
  <c r="S45" i="1"/>
  <c r="S58" i="1" s="1"/>
  <c r="T31" i="1"/>
  <c r="T44" i="1" l="1"/>
  <c r="T57" i="1" s="1"/>
  <c r="S44" i="1"/>
  <c r="S57" i="1" s="1"/>
  <c r="T32" i="1"/>
  <c r="T58" i="1" s="1"/>
  <c r="T30" i="1"/>
  <c r="T56" i="1" s="1"/>
</calcChain>
</file>

<file path=xl/sharedStrings.xml><?xml version="1.0" encoding="utf-8"?>
<sst xmlns="http://schemas.openxmlformats.org/spreadsheetml/2006/main" count="30" uniqueCount="17">
  <si>
    <t>V_in</t>
  </si>
  <si>
    <t>p_in</t>
  </si>
  <si>
    <t>dx=dy</t>
  </si>
  <si>
    <t>V_out</t>
  </si>
  <si>
    <t>n_iter</t>
  </si>
  <si>
    <t>N_L</t>
  </si>
  <si>
    <t>N_H</t>
  </si>
  <si>
    <t>start_Row</t>
  </si>
  <si>
    <t>start_Column</t>
  </si>
  <si>
    <t>ψ</t>
  </si>
  <si>
    <t>U</t>
  </si>
  <si>
    <t>V</t>
  </si>
  <si>
    <t>Vel</t>
  </si>
  <si>
    <t>x</t>
  </si>
  <si>
    <t>y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</si>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</sst>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Нижняя стенка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38100">
                <a:solidFill>
                  <a:srgbClr val="FF0000"/>
                </a:solidFill>
              </a:ln>
              <a:effectLst/>
            </c:spPr>
          </c:marker>
          <c:xVal>
            <c:numRef>
              <c:f>Лист1!$F$15:$T$15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Лист1!$X$12:$AL$12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F8-475B-8870-2A17985ED1A0}"/>
            </c:ext>
          </c:extLst>
        </c:ser>
        <c:ser>
          <c:idx val="1"/>
          <c:order val="1"/>
          <c:tx>
            <c:v>Верхняя стенка</c:v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38100">
                <a:solidFill>
                  <a:srgbClr val="0070C0"/>
                </a:solidFill>
              </a:ln>
              <a:effectLst/>
            </c:spPr>
          </c:marker>
          <c:xVal>
            <c:numRef>
              <c:f>Лист1!$F$15:$T$15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Лист1!$X$23:$AL$23</c:f>
              <c:numCache>
                <c:formatCode>0.00</c:formatCode>
                <c:ptCount val="15"/>
                <c:pt idx="0">
                  <c:v>0</c:v>
                </c:pt>
                <c:pt idx="1">
                  <c:v>2.8143790411995724E-2</c:v>
                </c:pt>
                <c:pt idx="2">
                  <c:v>6.3816183311282651E-2</c:v>
                </c:pt>
                <c:pt idx="3">
                  <c:v>0.11458769048709655</c:v>
                </c:pt>
                <c:pt idx="4">
                  <c:v>0.18568973066780017</c:v>
                </c:pt>
                <c:pt idx="5">
                  <c:v>0.27485147035389673</c:v>
                </c:pt>
                <c:pt idx="6">
                  <c:v>0.36820606542984025</c:v>
                </c:pt>
                <c:pt idx="7">
                  <c:v>0.45398914727935336</c:v>
                </c:pt>
                <c:pt idx="8">
                  <c:v>0.52678677880991021</c:v>
                </c:pt>
                <c:pt idx="9">
                  <c:v>0.5859118388206116</c:v>
                </c:pt>
                <c:pt idx="10">
                  <c:v>0.63302379823464439</c:v>
                </c:pt>
                <c:pt idx="11">
                  <c:v>0.67058625851524989</c:v>
                </c:pt>
                <c:pt idx="12">
                  <c:v>0.70112116552016235</c:v>
                </c:pt>
                <c:pt idx="13">
                  <c:v>0.72692518757830837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F8-475B-8870-2A17985ED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251704"/>
        <c:axId val="548252344"/>
      </c:scatterChart>
      <c:valAx>
        <c:axId val="548251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8252344"/>
        <c:crosses val="autoZero"/>
        <c:crossBetween val="midCat"/>
      </c:valAx>
      <c:valAx>
        <c:axId val="54825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8251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628649</xdr:colOff>
      <xdr:row>24</xdr:row>
      <xdr:rowOff>14286</xdr:rowOff>
    </xdr:from>
    <xdr:to>
      <xdr:col>31</xdr:col>
      <xdr:colOff>9525</xdr:colOff>
      <xdr:row>45</xdr:row>
      <xdr:rowOff>180975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2F489F0-2D58-45CA-9D1B-575643F7B3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57150</xdr:colOff>
      <xdr:row>24</xdr:row>
      <xdr:rowOff>38100</xdr:rowOff>
    </xdr:from>
    <xdr:ext cx="414922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05D4D1B-5789-444E-AA74-C843DE8C2E4B}"/>
                </a:ext>
              </a:extLst>
            </xdr:cNvPr>
            <xdr:cNvSpPr txBox="1"/>
          </xdr:nvSpPr>
          <xdr:spPr>
            <a:xfrm>
              <a:off x="10572750" y="4610100"/>
              <a:ext cx="414922" cy="40957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2000" b="1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20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  <m:sub>
                        <m:r>
                          <a:rPr lang="ru-RU" sz="2000" b="1" i="1">
                            <a:latin typeface="Cambria Math" panose="02040503050406030204" pitchFamily="18" charset="0"/>
                          </a:rPr>
                          <m:t>𝒑</m:t>
                        </m:r>
                      </m:sub>
                    </m:sSub>
                  </m:oMath>
                </m:oMathPara>
              </a14:m>
              <a:endParaRPr lang="ru-RU" sz="2000" b="1" i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05D4D1B-5789-444E-AA74-C843DE8C2E4B}"/>
                </a:ext>
              </a:extLst>
            </xdr:cNvPr>
            <xdr:cNvSpPr txBox="1"/>
          </xdr:nvSpPr>
          <xdr:spPr>
            <a:xfrm>
              <a:off x="10572750" y="4610100"/>
              <a:ext cx="414922" cy="40957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ru-RU" sz="2000" b="1" i="0">
                  <a:latin typeface="Cambria Math" panose="02040503050406030204" pitchFamily="18" charset="0"/>
                </a:rPr>
                <a:t>𝑪</a:t>
              </a:r>
              <a:r>
                <a:rPr lang="ru-RU" sz="20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2000" b="1" i="0">
                  <a:latin typeface="Cambria Math" panose="02040503050406030204" pitchFamily="18" charset="0"/>
                </a:rPr>
                <a:t>𝒑</a:t>
              </a:r>
              <a:endParaRPr lang="ru-RU" sz="2000" b="1" i="1"/>
            </a:p>
          </xdr:txBody>
        </xdr:sp>
      </mc:Fallback>
    </mc:AlternateContent>
    <xdr:clientData/>
  </xdr:oneCellAnchor>
  <xdr:oneCellAnchor>
    <xdr:from>
      <xdr:col>29</xdr:col>
      <xdr:colOff>523875</xdr:colOff>
      <xdr:row>35</xdr:row>
      <xdr:rowOff>104774</xdr:rowOff>
    </xdr:from>
    <xdr:ext cx="776175" cy="35780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2E01B4C-0897-4CCA-888B-A350C9844A8F}"/>
            </a:ext>
          </a:extLst>
        </xdr:cNvPr>
        <xdr:cNvSpPr txBox="1"/>
      </xdr:nvSpPr>
      <xdr:spPr>
        <a:xfrm>
          <a:off x="14925675" y="6772274"/>
          <a:ext cx="776175" cy="357807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2000" b="1" i="0">
              <a:latin typeface="+mn-lt"/>
              <a:ea typeface="Cambria Math" panose="02040503050406030204" pitchFamily="18" charset="0"/>
            </a:rPr>
            <a:t>x, [</a:t>
          </a:r>
          <a:r>
            <a:rPr lang="ru-RU" sz="2000" b="1" i="0">
              <a:latin typeface="+mn-lt"/>
              <a:ea typeface="Cambria Math" panose="02040503050406030204" pitchFamily="18" charset="0"/>
            </a:rPr>
            <a:t>м</a:t>
          </a:r>
          <a:r>
            <a:rPr lang="en-US" sz="2000" b="1" i="0">
              <a:latin typeface="+mn-lt"/>
              <a:ea typeface="Cambria Math" panose="02040503050406030204" pitchFamily="18" charset="0"/>
            </a:rPr>
            <a:t>]</a:t>
          </a:r>
          <a:endParaRPr lang="ru-RU" sz="2000" b="1" i="0">
            <a:latin typeface="+mn-lt"/>
            <a:ea typeface="Cambria Math" panose="02040503050406030204" pitchFamily="18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0F122-DA23-4BE8-91E2-2E77ED34C4FB}">
  <sheetPr codeName="Лист1"/>
  <dimension ref="A2:AL67"/>
  <sheetViews>
    <sheetView tabSelected="1" topLeftCell="I7" workbookViewId="0">
      <selection activeCell="AH33" sqref="AH33"/>
    </sheetView>
  </sheetViews>
  <sheetFormatPr defaultRowHeight="15" x14ac:dyDescent="0.25"/>
  <cols>
    <col min="1" max="1" width="14.28515625" style="2" customWidth="1"/>
    <col min="2" max="2" width="9.140625" style="2"/>
    <col min="4" max="4" width="9.140625" style="1"/>
    <col min="5" max="21" width="5.7109375" style="2" customWidth="1"/>
    <col min="23" max="38" width="9.7109375" style="2" customWidth="1"/>
  </cols>
  <sheetData>
    <row r="2" spans="1:38" x14ac:dyDescent="0.25">
      <c r="A2" s="3" t="s">
        <v>2</v>
      </c>
      <c r="B2" s="3">
        <v>0.2</v>
      </c>
    </row>
    <row r="3" spans="1:38" x14ac:dyDescent="0.25">
      <c r="F3" s="7">
        <v>1</v>
      </c>
      <c r="G3" s="7">
        <v>2</v>
      </c>
      <c r="H3" s="7">
        <v>3</v>
      </c>
      <c r="I3" s="7">
        <v>4</v>
      </c>
      <c r="J3" s="7">
        <v>5</v>
      </c>
      <c r="K3" s="7">
        <v>6</v>
      </c>
      <c r="L3" s="7">
        <v>7</v>
      </c>
      <c r="M3" s="7">
        <v>8</v>
      </c>
      <c r="N3" s="7">
        <v>9</v>
      </c>
      <c r="O3" s="7">
        <v>10</v>
      </c>
      <c r="P3" s="7">
        <v>11</v>
      </c>
      <c r="Q3" s="7">
        <v>12</v>
      </c>
      <c r="R3" s="7">
        <v>13</v>
      </c>
      <c r="S3" s="7">
        <v>14</v>
      </c>
      <c r="T3" s="7">
        <v>15</v>
      </c>
    </row>
    <row r="4" spans="1:38" x14ac:dyDescent="0.25">
      <c r="A4" s="3" t="s">
        <v>0</v>
      </c>
      <c r="B4" s="3">
        <v>10</v>
      </c>
      <c r="D4" s="8" t="s">
        <v>9</v>
      </c>
      <c r="E4" s="9">
        <f t="shared" ref="E4:E12" si="0">E5+$B$2</f>
        <v>1.9999999999999998</v>
      </c>
      <c r="F4" s="6">
        <f>$B$4</f>
        <v>10</v>
      </c>
      <c r="G4" s="6">
        <f>$B$4</f>
        <v>10</v>
      </c>
      <c r="H4" s="6">
        <f>$B$4</f>
        <v>10</v>
      </c>
      <c r="I4" s="6">
        <f>$B$4</f>
        <v>10</v>
      </c>
      <c r="J4" s="6">
        <f>$B$4</f>
        <v>10</v>
      </c>
      <c r="K4" s="6">
        <f>$B$4</f>
        <v>10</v>
      </c>
      <c r="L4" s="6">
        <f>$B$4</f>
        <v>10</v>
      </c>
      <c r="M4" s="6">
        <f>$B$4</f>
        <v>10</v>
      </c>
      <c r="N4" s="6">
        <f>$B$4</f>
        <v>10</v>
      </c>
      <c r="O4" s="6">
        <f>$B$4</f>
        <v>10</v>
      </c>
      <c r="P4" s="6">
        <f>$B$4</f>
        <v>10</v>
      </c>
      <c r="Q4" s="6">
        <f>$B$4</f>
        <v>10</v>
      </c>
      <c r="R4" s="6">
        <f>$B$4</f>
        <v>10</v>
      </c>
      <c r="S4" s="6">
        <f>$B$4</f>
        <v>10</v>
      </c>
      <c r="T4" s="6">
        <f>$B$4</f>
        <v>10</v>
      </c>
      <c r="U4" s="7">
        <v>11</v>
      </c>
      <c r="W4" s="5"/>
      <c r="X4" s="3">
        <v>1</v>
      </c>
      <c r="Y4" s="3">
        <v>2</v>
      </c>
      <c r="Z4" s="3">
        <v>3</v>
      </c>
      <c r="AA4" s="3">
        <v>4</v>
      </c>
      <c r="AB4" s="3">
        <v>5</v>
      </c>
      <c r="AC4" s="3">
        <v>6</v>
      </c>
      <c r="AD4" s="3">
        <v>7</v>
      </c>
      <c r="AE4" s="3">
        <v>8</v>
      </c>
      <c r="AF4" s="3">
        <v>9</v>
      </c>
      <c r="AG4" s="3">
        <v>10</v>
      </c>
      <c r="AH4" s="3">
        <v>11</v>
      </c>
      <c r="AI4" s="3">
        <v>12</v>
      </c>
      <c r="AJ4" s="3">
        <v>13</v>
      </c>
      <c r="AK4" s="3">
        <v>14</v>
      </c>
      <c r="AL4" s="3">
        <v>15</v>
      </c>
    </row>
    <row r="5" spans="1:38" x14ac:dyDescent="0.25">
      <c r="A5" s="3" t="s">
        <v>1</v>
      </c>
      <c r="B5" s="3">
        <v>101325</v>
      </c>
      <c r="E5" s="9">
        <f t="shared" si="0"/>
        <v>1.7999999999999998</v>
      </c>
      <c r="F5" s="6">
        <f t="shared" ref="F5:F8" si="1">F6+$B$4*$B$2</f>
        <v>8</v>
      </c>
      <c r="G5" s="10">
        <f>0.25*(F18+G17+H18+G19)</f>
        <v>8.0283446451390201</v>
      </c>
      <c r="H5" s="10">
        <f t="shared" ref="H5:S5" si="2">0.25*(G18+H17+I18+H19)</f>
        <v>8.0648681526173505</v>
      </c>
      <c r="I5" s="10">
        <f t="shared" si="2"/>
        <v>8.1180729987453777</v>
      </c>
      <c r="J5" s="10">
        <f t="shared" si="2"/>
        <v>8.195217166158649</v>
      </c>
      <c r="K5" s="10">
        <f t="shared" si="2"/>
        <v>8.2968869331178503</v>
      </c>
      <c r="L5" s="10">
        <f t="shared" si="2"/>
        <v>8.4102906749091311</v>
      </c>
      <c r="M5" s="10">
        <f t="shared" si="2"/>
        <v>8.5221490566086295</v>
      </c>
      <c r="N5" s="10">
        <f t="shared" si="2"/>
        <v>8.6241900986107414</v>
      </c>
      <c r="O5" s="10">
        <f t="shared" si="2"/>
        <v>8.7130063540493303</v>
      </c>
      <c r="P5" s="10">
        <f t="shared" si="2"/>
        <v>8.7884287858070618</v>
      </c>
      <c r="Q5" s="10">
        <f t="shared" si="2"/>
        <v>8.852108469436633</v>
      </c>
      <c r="R5" s="10">
        <f t="shared" si="2"/>
        <v>8.9066037598749812</v>
      </c>
      <c r="S5" s="10">
        <f t="shared" si="2"/>
        <v>8.9548687882918756</v>
      </c>
      <c r="T5" s="6">
        <f t="shared" ref="T5:T12" si="3">T6+$B$2*$B$6</f>
        <v>9</v>
      </c>
      <c r="U5" s="7">
        <v>10</v>
      </c>
      <c r="W5" s="15" t="s">
        <v>9</v>
      </c>
      <c r="X5" s="13">
        <v>0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D5" s="13">
        <v>0</v>
      </c>
      <c r="AE5" s="13">
        <v>0</v>
      </c>
      <c r="AF5" s="13">
        <v>0</v>
      </c>
      <c r="AG5" s="13">
        <v>0</v>
      </c>
      <c r="AH5" s="13">
        <v>0</v>
      </c>
      <c r="AI5" s="13">
        <v>0</v>
      </c>
      <c r="AJ5" s="13">
        <v>0</v>
      </c>
      <c r="AK5" s="13">
        <v>0</v>
      </c>
      <c r="AL5" s="13">
        <v>0</v>
      </c>
    </row>
    <row r="6" spans="1:38" x14ac:dyDescent="0.25">
      <c r="A6" s="3" t="s">
        <v>3</v>
      </c>
      <c r="B6" s="3">
        <f>((E4-E9)*B4)/(E4-E14)</f>
        <v>5</v>
      </c>
      <c r="D6" s="1">
        <v>300</v>
      </c>
      <c r="E6" s="9">
        <f t="shared" si="0"/>
        <v>1.5999999999999999</v>
      </c>
      <c r="F6" s="6">
        <f t="shared" si="1"/>
        <v>6</v>
      </c>
      <c r="G6" s="10">
        <f t="shared" ref="G6:S6" si="4">0.25*(F19+G18+H19+G20)</f>
        <v>6.0485104297694843</v>
      </c>
      <c r="H6" s="10">
        <f t="shared" si="4"/>
        <v>6.1130549706282409</v>
      </c>
      <c r="I6" s="10">
        <f t="shared" si="4"/>
        <v>6.2122066826259434</v>
      </c>
      <c r="J6" s="10">
        <f t="shared" si="4"/>
        <v>6.3659087426749377</v>
      </c>
      <c r="K6" s="10">
        <f t="shared" si="4"/>
        <v>6.5820399046363747</v>
      </c>
      <c r="L6" s="10">
        <f t="shared" si="4"/>
        <v>6.8221267276369435</v>
      </c>
      <c r="M6" s="10">
        <f t="shared" si="4"/>
        <v>7.0541154734311275</v>
      </c>
      <c r="N6" s="10">
        <f t="shared" si="4"/>
        <v>7.261605007508015</v>
      </c>
      <c r="O6" s="10">
        <f t="shared" si="4"/>
        <v>7.4394065553780901</v>
      </c>
      <c r="P6" s="10">
        <f t="shared" si="4"/>
        <v>7.5886003429309392</v>
      </c>
      <c r="Q6" s="10">
        <f t="shared" si="4"/>
        <v>7.7134013511164907</v>
      </c>
      <c r="R6" s="10">
        <f t="shared" si="4"/>
        <v>7.819437796179094</v>
      </c>
      <c r="S6" s="10">
        <f t="shared" si="4"/>
        <v>7.9128714006144643</v>
      </c>
      <c r="T6" s="6">
        <f t="shared" si="3"/>
        <v>8</v>
      </c>
      <c r="U6" s="7">
        <v>9</v>
      </c>
      <c r="W6" s="3" t="s">
        <v>13</v>
      </c>
      <c r="X6" s="16">
        <v>0</v>
      </c>
      <c r="Y6" s="16">
        <f>X6+$B$2</f>
        <v>0.2</v>
      </c>
      <c r="Z6" s="16">
        <f t="shared" ref="Z6:AL6" si="5">Y6+$B$2</f>
        <v>0.4</v>
      </c>
      <c r="AA6" s="16">
        <f t="shared" si="5"/>
        <v>0.60000000000000009</v>
      </c>
      <c r="AB6" s="16">
        <f t="shared" si="5"/>
        <v>0.8</v>
      </c>
      <c r="AC6" s="16">
        <f t="shared" si="5"/>
        <v>1</v>
      </c>
      <c r="AD6" s="16">
        <f t="shared" si="5"/>
        <v>1.2</v>
      </c>
      <c r="AE6" s="16">
        <f t="shared" si="5"/>
        <v>1.4</v>
      </c>
      <c r="AF6" s="16">
        <f t="shared" si="5"/>
        <v>1.5999999999999999</v>
      </c>
      <c r="AG6" s="16">
        <f t="shared" si="5"/>
        <v>1.7999999999999998</v>
      </c>
      <c r="AH6" s="16">
        <f t="shared" si="5"/>
        <v>1.9999999999999998</v>
      </c>
      <c r="AI6" s="16">
        <f t="shared" si="5"/>
        <v>2.1999999999999997</v>
      </c>
      <c r="AJ6" s="16">
        <f t="shared" si="5"/>
        <v>2.4</v>
      </c>
      <c r="AK6" s="16">
        <f t="shared" si="5"/>
        <v>2.6</v>
      </c>
      <c r="AL6" s="16">
        <f t="shared" si="5"/>
        <v>2.8000000000000003</v>
      </c>
    </row>
    <row r="7" spans="1:38" x14ac:dyDescent="0.25">
      <c r="E7" s="9">
        <f t="shared" si="0"/>
        <v>1.4</v>
      </c>
      <c r="F7" s="6">
        <f t="shared" si="1"/>
        <v>4</v>
      </c>
      <c r="G7" s="10">
        <f t="shared" ref="G7:S7" si="6">0.25*(F20+G19+H20+G21)</f>
        <v>4.0526421064459752</v>
      </c>
      <c r="H7" s="10">
        <f t="shared" si="6"/>
        <v>4.1266346239826159</v>
      </c>
      <c r="I7" s="10">
        <f t="shared" si="6"/>
        <v>4.2517900296834323</v>
      </c>
      <c r="J7" s="10">
        <f t="shared" si="6"/>
        <v>4.4741712337143431</v>
      </c>
      <c r="K7" s="10">
        <f t="shared" si="6"/>
        <v>4.8432372393719767</v>
      </c>
      <c r="L7" s="10">
        <f t="shared" si="6"/>
        <v>5.2420608884190019</v>
      </c>
      <c r="M7" s="10">
        <f t="shared" si="6"/>
        <v>5.6105811409677315</v>
      </c>
      <c r="N7" s="10">
        <f t="shared" si="6"/>
        <v>5.9287079449440832</v>
      </c>
      <c r="O7" s="10">
        <f t="shared" si="6"/>
        <v>6.1944145626442628</v>
      </c>
      <c r="P7" s="10">
        <f t="shared" si="6"/>
        <v>6.4131647212713627</v>
      </c>
      <c r="Q7" s="10">
        <f t="shared" si="6"/>
        <v>6.5934588330273387</v>
      </c>
      <c r="R7" s="10">
        <f t="shared" si="6"/>
        <v>6.7448746992382995</v>
      </c>
      <c r="S7" s="10">
        <f t="shared" si="6"/>
        <v>6.877179032289134</v>
      </c>
      <c r="T7" s="6">
        <f t="shared" si="3"/>
        <v>7</v>
      </c>
      <c r="U7" s="7">
        <v>8</v>
      </c>
      <c r="W7" s="3" t="s">
        <v>14</v>
      </c>
      <c r="X7" s="16">
        <v>1</v>
      </c>
      <c r="Y7" s="16">
        <v>1</v>
      </c>
      <c r="Z7" s="16">
        <v>1</v>
      </c>
      <c r="AA7" s="16">
        <v>1</v>
      </c>
      <c r="AB7" s="16">
        <v>1</v>
      </c>
      <c r="AC7" s="16">
        <v>0.8</v>
      </c>
      <c r="AD7" s="16">
        <v>0.6</v>
      </c>
      <c r="AE7" s="16">
        <v>0.4</v>
      </c>
      <c r="AF7" s="16">
        <v>0.2</v>
      </c>
      <c r="AG7" s="16">
        <v>0</v>
      </c>
      <c r="AH7" s="16">
        <v>0</v>
      </c>
      <c r="AI7" s="16">
        <v>0</v>
      </c>
      <c r="AJ7" s="16">
        <v>0</v>
      </c>
      <c r="AK7" s="16">
        <v>0</v>
      </c>
      <c r="AL7" s="16">
        <v>0</v>
      </c>
    </row>
    <row r="8" spans="1:38" x14ac:dyDescent="0.25">
      <c r="E8" s="9">
        <f t="shared" si="0"/>
        <v>1.2</v>
      </c>
      <c r="F8" s="6">
        <f t="shared" si="1"/>
        <v>2</v>
      </c>
      <c r="G8" s="10">
        <f t="shared" ref="G8:S13" si="7">0.25*(F21+G20+H21+G22)</f>
        <v>2.0354233751437012</v>
      </c>
      <c r="H8" s="10">
        <f t="shared" si="7"/>
        <v>2.0890513961841743</v>
      </c>
      <c r="I8" s="10">
        <f t="shared" si="7"/>
        <v>2.194147589988189</v>
      </c>
      <c r="J8" s="10">
        <f t="shared" si="7"/>
        <v>2.4357489421841789</v>
      </c>
      <c r="K8" s="10">
        <f t="shared" si="7"/>
        <v>3.0746769585919966</v>
      </c>
      <c r="L8" s="10">
        <f t="shared" si="7"/>
        <v>3.6922984856763237</v>
      </c>
      <c r="M8" s="10">
        <f t="shared" si="7"/>
        <v>4.2174403054853933</v>
      </c>
      <c r="N8" s="10">
        <f t="shared" si="7"/>
        <v>4.6482311263033065</v>
      </c>
      <c r="O8" s="10">
        <f t="shared" si="7"/>
        <v>4.9963790874444012</v>
      </c>
      <c r="P8" s="10">
        <f t="shared" si="7"/>
        <v>5.2761852046602016</v>
      </c>
      <c r="Q8" s="10">
        <f t="shared" si="7"/>
        <v>5.5023946086763953</v>
      </c>
      <c r="R8" s="10">
        <f t="shared" si="7"/>
        <v>5.6894231720890422</v>
      </c>
      <c r="S8" s="10">
        <f t="shared" si="7"/>
        <v>5.8509700479715772</v>
      </c>
      <c r="T8" s="6">
        <f t="shared" si="3"/>
        <v>6</v>
      </c>
      <c r="U8" s="7">
        <v>7</v>
      </c>
      <c r="W8" s="3" t="s">
        <v>10</v>
      </c>
      <c r="X8" s="16">
        <f>F35</f>
        <v>10</v>
      </c>
      <c r="Y8" s="16">
        <f t="shared" ref="Y8:AB8" si="8">G35</f>
        <v>10.177116875718506</v>
      </c>
      <c r="Z8" s="16">
        <f t="shared" si="8"/>
        <v>10.44525698092087</v>
      </c>
      <c r="AA8" s="16">
        <f t="shared" si="8"/>
        <v>10.970737949940945</v>
      </c>
      <c r="AB8" s="16">
        <f t="shared" si="8"/>
        <v>12.178744710920894</v>
      </c>
      <c r="AC8" s="16">
        <f>K36</f>
        <v>6.6371159657029066</v>
      </c>
      <c r="AD8" s="16">
        <f>L37</f>
        <v>5.0084557299208639</v>
      </c>
      <c r="AE8" s="16">
        <f>M38</f>
        <v>3.9931582798353946</v>
      </c>
      <c r="AF8" s="16">
        <f>N39</f>
        <v>3.1416985814568066</v>
      </c>
      <c r="AG8" s="16">
        <f>O40</f>
        <v>2.1832321413793334</v>
      </c>
      <c r="AH8" s="16">
        <f t="shared" ref="AH8:AL8" si="9">P40</f>
        <v>3.2800235617569942</v>
      </c>
      <c r="AI8" s="16">
        <f t="shared" si="9"/>
        <v>3.9307642264347868</v>
      </c>
      <c r="AJ8" s="16">
        <f t="shared" si="9"/>
        <v>4.3713257263338035</v>
      </c>
      <c r="AK8" s="16">
        <f t="shared" si="9"/>
        <v>4.7077636852258209</v>
      </c>
      <c r="AL8" s="16">
        <f t="shared" si="9"/>
        <v>5</v>
      </c>
    </row>
    <row r="9" spans="1:38" x14ac:dyDescent="0.25">
      <c r="E9" s="9">
        <f t="shared" si="0"/>
        <v>1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10">
        <f t="shared" si="7"/>
        <v>1.3274231931405813</v>
      </c>
      <c r="L9" s="10">
        <f t="shared" si="7"/>
        <v>2.2350158287552464</v>
      </c>
      <c r="M9" s="10">
        <f t="shared" si="7"/>
        <v>2.9186505221876624</v>
      </c>
      <c r="N9" s="10">
        <f t="shared" si="7"/>
        <v>3.4503972282043409</v>
      </c>
      <c r="O9" s="10">
        <f t="shared" si="7"/>
        <v>3.8666855239550633</v>
      </c>
      <c r="P9" s="10">
        <f t="shared" si="7"/>
        <v>4.192802464744295</v>
      </c>
      <c r="Q9" s="10">
        <f t="shared" si="7"/>
        <v>4.4505112819815364</v>
      </c>
      <c r="R9" s="10">
        <f t="shared" si="7"/>
        <v>4.6594533729664782</v>
      </c>
      <c r="S9" s="10">
        <f t="shared" si="7"/>
        <v>4.837278009772402</v>
      </c>
      <c r="T9" s="6">
        <f t="shared" si="3"/>
        <v>5</v>
      </c>
      <c r="U9" s="7">
        <v>6</v>
      </c>
      <c r="W9" s="3" t="s">
        <v>11</v>
      </c>
      <c r="X9" s="16">
        <f>F48</f>
        <v>0</v>
      </c>
      <c r="Y9" s="16">
        <f>G48</f>
        <v>0</v>
      </c>
      <c r="Z9" s="16">
        <f>H48</f>
        <v>0</v>
      </c>
      <c r="AA9" s="16">
        <f>I48</f>
        <v>0</v>
      </c>
      <c r="AB9" s="16">
        <f>J48</f>
        <v>-3.3185579828514533</v>
      </c>
      <c r="AC9" s="16">
        <f>K49</f>
        <v>-5.0084557299208639</v>
      </c>
      <c r="AD9" s="16">
        <f>L50</f>
        <v>-3.9931582798353946</v>
      </c>
      <c r="AE9" s="16">
        <f>M51</f>
        <v>-3.1416985814568066</v>
      </c>
      <c r="AF9" s="16">
        <f>N52</f>
        <v>-2.1832321413793334</v>
      </c>
      <c r="AG9" s="16">
        <f>O53</f>
        <v>0</v>
      </c>
      <c r="AH9" s="16">
        <f t="shared" ref="AH9:AL9" si="10">P53</f>
        <v>0</v>
      </c>
      <c r="AI9" s="16">
        <f t="shared" si="10"/>
        <v>0</v>
      </c>
      <c r="AJ9" s="16">
        <f t="shared" si="10"/>
        <v>0</v>
      </c>
      <c r="AK9" s="16">
        <f t="shared" si="10"/>
        <v>0</v>
      </c>
      <c r="AL9" s="16">
        <f t="shared" si="10"/>
        <v>0</v>
      </c>
    </row>
    <row r="10" spans="1:38" x14ac:dyDescent="0.25">
      <c r="A10" s="3" t="s">
        <v>4</v>
      </c>
      <c r="B10" s="3">
        <v>300</v>
      </c>
      <c r="E10" s="9">
        <f t="shared" si="0"/>
        <v>0.8</v>
      </c>
      <c r="F10" s="11"/>
      <c r="G10" s="11"/>
      <c r="H10" s="11"/>
      <c r="I10" s="11"/>
      <c r="J10" s="11"/>
      <c r="K10" s="6">
        <v>0</v>
      </c>
      <c r="L10" s="10">
        <f t="shared" si="7"/>
        <v>1.0016911459841729</v>
      </c>
      <c r="M10" s="10">
        <f t="shared" si="7"/>
        <v>1.7717487723234222</v>
      </c>
      <c r="N10" s="10">
        <f t="shared" si="7"/>
        <v>2.3680218004020603</v>
      </c>
      <c r="O10" s="10">
        <f t="shared" si="7"/>
        <v>2.8271633796161399</v>
      </c>
      <c r="P10" s="10">
        <f t="shared" si="7"/>
        <v>3.1778279143367341</v>
      </c>
      <c r="Q10" s="10">
        <f t="shared" si="7"/>
        <v>3.4473947372538909</v>
      </c>
      <c r="R10" s="10">
        <f t="shared" si="7"/>
        <v>3.6606010708649892</v>
      </c>
      <c r="S10" s="10">
        <f t="shared" si="7"/>
        <v>3.8386886401185123</v>
      </c>
      <c r="T10" s="6">
        <f t="shared" si="3"/>
        <v>4</v>
      </c>
      <c r="U10" s="7">
        <v>5</v>
      </c>
      <c r="W10" s="3" t="s">
        <v>12</v>
      </c>
      <c r="X10" s="16">
        <f>(X8^2+X9^2)^0.5</f>
        <v>10</v>
      </c>
      <c r="Y10" s="16">
        <f t="shared" ref="Y10:AL10" si="11">(Y8^2+Y9^2)^0.5</f>
        <v>10.177116875718506</v>
      </c>
      <c r="Z10" s="16">
        <f t="shared" si="11"/>
        <v>10.44525698092087</v>
      </c>
      <c r="AA10" s="16">
        <f t="shared" si="11"/>
        <v>10.970737949940945</v>
      </c>
      <c r="AB10" s="16">
        <f t="shared" si="11"/>
        <v>12.622782966498741</v>
      </c>
      <c r="AC10" s="16">
        <f t="shared" si="11"/>
        <v>8.3148022911411168</v>
      </c>
      <c r="AD10" s="16">
        <f t="shared" si="11"/>
        <v>6.4054618761175295</v>
      </c>
      <c r="AE10" s="16">
        <f t="shared" si="11"/>
        <v>5.0809037606065397</v>
      </c>
      <c r="AF10" s="16">
        <f t="shared" si="11"/>
        <v>3.8258035182010457</v>
      </c>
      <c r="AG10" s="16">
        <f t="shared" si="11"/>
        <v>2.1832321413793334</v>
      </c>
      <c r="AH10" s="16">
        <f t="shared" si="11"/>
        <v>3.2800235617569942</v>
      </c>
      <c r="AI10" s="16">
        <f t="shared" si="11"/>
        <v>3.9307642264347868</v>
      </c>
      <c r="AJ10" s="16">
        <f t="shared" si="11"/>
        <v>4.3713257263338035</v>
      </c>
      <c r="AK10" s="16">
        <f t="shared" si="11"/>
        <v>4.7077636852258209</v>
      </c>
      <c r="AL10" s="16">
        <f t="shared" si="11"/>
        <v>5</v>
      </c>
    </row>
    <row r="11" spans="1:38" x14ac:dyDescent="0.25">
      <c r="E11" s="9">
        <f t="shared" si="0"/>
        <v>0.60000000000000009</v>
      </c>
      <c r="F11" s="11"/>
      <c r="G11" s="11"/>
      <c r="H11" s="11"/>
      <c r="I11" s="11"/>
      <c r="J11" s="11"/>
      <c r="K11" s="11"/>
      <c r="L11" s="6">
        <v>0</v>
      </c>
      <c r="M11" s="10">
        <f t="shared" si="7"/>
        <v>0.79863165596707897</v>
      </c>
      <c r="N11" s="10">
        <f t="shared" si="7"/>
        <v>1.4227778691455795</v>
      </c>
      <c r="O11" s="10">
        <f t="shared" si="7"/>
        <v>1.8961183376882007</v>
      </c>
      <c r="P11" s="10">
        <f t="shared" si="7"/>
        <v>2.2439511326791068</v>
      </c>
      <c r="Q11" s="10">
        <f t="shared" si="7"/>
        <v>2.5006387344439092</v>
      </c>
      <c r="R11" s="10">
        <f t="shared" si="7"/>
        <v>2.6968675710597356</v>
      </c>
      <c r="S11" s="10">
        <f t="shared" si="7"/>
        <v>2.8568755008645055</v>
      </c>
      <c r="T11" s="6">
        <f t="shared" si="3"/>
        <v>3</v>
      </c>
      <c r="U11" s="7">
        <v>4</v>
      </c>
      <c r="W11" s="3" t="s">
        <v>15</v>
      </c>
      <c r="X11" s="16">
        <f>B5</f>
        <v>101325</v>
      </c>
      <c r="Y11" s="16">
        <f>(X11+(X10^2)/2)-(Y10^2)/2</f>
        <v>101323.21314604898</v>
      </c>
      <c r="Z11" s="16">
        <f t="shared" ref="Z11:AL11" si="12">(Y11+(Y10^2)/2)-(Z10^2)/2</f>
        <v>101320.44830330127</v>
      </c>
      <c r="AA11" s="16">
        <f t="shared" si="12"/>
        <v>101314.82145441686</v>
      </c>
      <c r="AB11" s="16">
        <f t="shared" si="12"/>
        <v>101295.33267509034</v>
      </c>
      <c r="AC11" s="16">
        <f t="shared" si="12"/>
        <v>101340.43203142962</v>
      </c>
      <c r="AD11" s="16">
        <f t="shared" si="12"/>
        <v>101354.48502907681</v>
      </c>
      <c r="AE11" s="16">
        <f t="shared" si="12"/>
        <v>101362.09220848772</v>
      </c>
      <c r="AF11" s="16">
        <f t="shared" si="12"/>
        <v>101367.68161372007</v>
      </c>
      <c r="AG11" s="16">
        <f t="shared" si="12"/>
        <v>101372.61674870843</v>
      </c>
      <c r="AH11" s="16">
        <f t="shared" si="12"/>
        <v>101369.62072271715</v>
      </c>
      <c r="AI11" s="16">
        <f t="shared" si="12"/>
        <v>101367.2745462981</v>
      </c>
      <c r="AJ11" s="16">
        <f t="shared" si="12"/>
        <v>101365.44575569715</v>
      </c>
      <c r="AK11" s="16">
        <f t="shared" si="12"/>
        <v>101363.91848054204</v>
      </c>
      <c r="AL11" s="16">
        <f t="shared" si="12"/>
        <v>101362.5</v>
      </c>
    </row>
    <row r="12" spans="1:38" x14ac:dyDescent="0.25">
      <c r="A12" s="3" t="s">
        <v>5</v>
      </c>
      <c r="B12" s="3">
        <v>15</v>
      </c>
      <c r="E12" s="9">
        <f t="shared" si="0"/>
        <v>0.4</v>
      </c>
      <c r="F12" s="11"/>
      <c r="G12" s="11"/>
      <c r="H12" s="11"/>
      <c r="I12" s="11"/>
      <c r="J12" s="11"/>
      <c r="K12" s="11"/>
      <c r="L12" s="11"/>
      <c r="M12" s="6">
        <v>0</v>
      </c>
      <c r="N12" s="10">
        <f t="shared" si="7"/>
        <v>0.62833971629136132</v>
      </c>
      <c r="O12" s="10">
        <f t="shared" si="7"/>
        <v>1.0905810115475707</v>
      </c>
      <c r="P12" s="10">
        <f t="shared" si="7"/>
        <v>1.4012195910538192</v>
      </c>
      <c r="Q12" s="10">
        <f t="shared" si="7"/>
        <v>1.6143415379003316</v>
      </c>
      <c r="R12" s="10">
        <f t="shared" si="7"/>
        <v>1.7693550103445033</v>
      </c>
      <c r="S12" s="10">
        <f t="shared" si="7"/>
        <v>1.8919458089999575</v>
      </c>
      <c r="T12" s="6">
        <f t="shared" si="3"/>
        <v>2</v>
      </c>
      <c r="U12" s="7">
        <v>3</v>
      </c>
      <c r="W12" s="3" t="s">
        <v>16</v>
      </c>
      <c r="X12" s="16">
        <f>(X11-$B$5)/(($X$10^2)/2)</f>
        <v>0</v>
      </c>
      <c r="Y12" s="16">
        <f t="shared" ref="Y12:AL12" si="13">(Y11-$B$5)/(($X$10^2)/2)</f>
        <v>-3.5737079020473177E-2</v>
      </c>
      <c r="Z12" s="16">
        <f t="shared" si="13"/>
        <v>-9.1033933974686079E-2</v>
      </c>
      <c r="AA12" s="16">
        <f t="shared" si="13"/>
        <v>-0.2035709116628277</v>
      </c>
      <c r="AB12" s="16">
        <f t="shared" si="13"/>
        <v>-0.59334649819327756</v>
      </c>
      <c r="AC12" s="16">
        <f t="shared" si="13"/>
        <v>0.30864062859240221</v>
      </c>
      <c r="AD12" s="16">
        <f t="shared" si="13"/>
        <v>0.58970058153616267</v>
      </c>
      <c r="AE12" s="16">
        <f t="shared" si="13"/>
        <v>0.74184416975447676</v>
      </c>
      <c r="AF12" s="16">
        <f t="shared" si="13"/>
        <v>0.85363227440131595</v>
      </c>
      <c r="AG12" s="16">
        <f t="shared" si="13"/>
        <v>0.95233497416862523</v>
      </c>
      <c r="AH12" s="16">
        <f t="shared" si="13"/>
        <v>0.89241445434308841</v>
      </c>
      <c r="AI12" s="16">
        <f t="shared" si="13"/>
        <v>0.84549092596193076</v>
      </c>
      <c r="AJ12" s="16">
        <f t="shared" si="13"/>
        <v>0.80891511394293047</v>
      </c>
      <c r="AK12" s="16">
        <f t="shared" si="13"/>
        <v>0.77836961084074574</v>
      </c>
      <c r="AL12" s="16">
        <f t="shared" si="13"/>
        <v>0.75</v>
      </c>
    </row>
    <row r="13" spans="1:38" x14ac:dyDescent="0.25">
      <c r="A13" s="3" t="s">
        <v>6</v>
      </c>
      <c r="B13" s="3">
        <v>11</v>
      </c>
      <c r="E13" s="9">
        <f>E14+$B$2</f>
        <v>0.2</v>
      </c>
      <c r="F13" s="11"/>
      <c r="G13" s="11"/>
      <c r="H13" s="11"/>
      <c r="I13" s="11"/>
      <c r="J13" s="11"/>
      <c r="K13" s="11"/>
      <c r="L13" s="11"/>
      <c r="M13" s="11"/>
      <c r="N13" s="6">
        <v>0</v>
      </c>
      <c r="O13" s="10">
        <f t="shared" si="7"/>
        <v>0.43664642827586675</v>
      </c>
      <c r="P13" s="10">
        <f t="shared" si="7"/>
        <v>0.6560047123513989</v>
      </c>
      <c r="Q13" s="10">
        <f t="shared" si="7"/>
        <v>0.78615284528695739</v>
      </c>
      <c r="R13" s="10">
        <f t="shared" si="7"/>
        <v>0.8742651452667608</v>
      </c>
      <c r="S13" s="10">
        <f t="shared" si="7"/>
        <v>0.94155273704516418</v>
      </c>
      <c r="T13" s="6">
        <f>T14+$B$2*$B$6</f>
        <v>1</v>
      </c>
      <c r="U13" s="7">
        <v>2</v>
      </c>
    </row>
    <row r="14" spans="1:38" x14ac:dyDescent="0.25">
      <c r="A14" s="3" t="s">
        <v>7</v>
      </c>
      <c r="B14" s="3">
        <v>15</v>
      </c>
      <c r="E14" s="9">
        <v>0</v>
      </c>
      <c r="F14" s="11"/>
      <c r="G14" s="11"/>
      <c r="H14" s="11"/>
      <c r="I14" s="11"/>
      <c r="J14" s="11"/>
      <c r="K14" s="11"/>
      <c r="L14" s="11"/>
      <c r="M14" s="11"/>
      <c r="N14" s="11"/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7">
        <v>1</v>
      </c>
    </row>
    <row r="15" spans="1:38" x14ac:dyDescent="0.25">
      <c r="A15" s="3" t="s">
        <v>8</v>
      </c>
      <c r="B15" s="3">
        <v>6</v>
      </c>
      <c r="E15" s="11"/>
      <c r="F15" s="9">
        <v>0</v>
      </c>
      <c r="G15" s="9">
        <f>F15+$B$2</f>
        <v>0.2</v>
      </c>
      <c r="H15" s="9">
        <f t="shared" ref="H15:T15" si="14">G15+$B$2</f>
        <v>0.4</v>
      </c>
      <c r="I15" s="9">
        <f t="shared" si="14"/>
        <v>0.60000000000000009</v>
      </c>
      <c r="J15" s="9">
        <f t="shared" si="14"/>
        <v>0.8</v>
      </c>
      <c r="K15" s="9">
        <f t="shared" si="14"/>
        <v>1</v>
      </c>
      <c r="L15" s="9">
        <f t="shared" si="14"/>
        <v>1.2</v>
      </c>
      <c r="M15" s="9">
        <f t="shared" si="14"/>
        <v>1.4</v>
      </c>
      <c r="N15" s="9">
        <f t="shared" si="14"/>
        <v>1.5999999999999999</v>
      </c>
      <c r="O15" s="9">
        <f t="shared" si="14"/>
        <v>1.7999999999999998</v>
      </c>
      <c r="P15" s="9">
        <f t="shared" si="14"/>
        <v>1.9999999999999998</v>
      </c>
      <c r="Q15" s="9">
        <f t="shared" si="14"/>
        <v>2.1999999999999997</v>
      </c>
      <c r="R15" s="9">
        <f t="shared" si="14"/>
        <v>2.4</v>
      </c>
      <c r="S15" s="9">
        <f t="shared" si="14"/>
        <v>2.6</v>
      </c>
      <c r="T15" s="9">
        <f t="shared" si="14"/>
        <v>2.8000000000000003</v>
      </c>
      <c r="W15" s="17"/>
      <c r="X15" s="3">
        <v>1</v>
      </c>
      <c r="Y15" s="3">
        <v>2</v>
      </c>
      <c r="Z15" s="3">
        <v>3</v>
      </c>
      <c r="AA15" s="3">
        <v>4</v>
      </c>
      <c r="AB15" s="3">
        <v>5</v>
      </c>
      <c r="AC15" s="3">
        <v>6</v>
      </c>
      <c r="AD15" s="3">
        <v>7</v>
      </c>
      <c r="AE15" s="3">
        <v>8</v>
      </c>
      <c r="AF15" s="3">
        <v>9</v>
      </c>
      <c r="AG15" s="3">
        <v>10</v>
      </c>
      <c r="AH15" s="3">
        <v>11</v>
      </c>
      <c r="AI15" s="3">
        <v>12</v>
      </c>
      <c r="AJ15" s="3">
        <v>13</v>
      </c>
      <c r="AK15" s="3">
        <v>14</v>
      </c>
      <c r="AL15" s="3">
        <v>15</v>
      </c>
    </row>
    <row r="16" spans="1:38" x14ac:dyDescent="0.25">
      <c r="A16" s="4" t="s">
        <v>9</v>
      </c>
      <c r="B16" s="3">
        <v>0</v>
      </c>
      <c r="W16" s="15" t="s">
        <v>9</v>
      </c>
      <c r="X16" s="13">
        <f>F4</f>
        <v>10</v>
      </c>
      <c r="Y16" s="13">
        <f t="shared" ref="Y16:AL16" si="15">G4</f>
        <v>10</v>
      </c>
      <c r="Z16" s="13">
        <f t="shared" si="15"/>
        <v>10</v>
      </c>
      <c r="AA16" s="13">
        <f t="shared" si="15"/>
        <v>10</v>
      </c>
      <c r="AB16" s="13">
        <f t="shared" si="15"/>
        <v>10</v>
      </c>
      <c r="AC16" s="13">
        <f t="shared" si="15"/>
        <v>10</v>
      </c>
      <c r="AD16" s="13">
        <f t="shared" si="15"/>
        <v>10</v>
      </c>
      <c r="AE16" s="13">
        <f t="shared" si="15"/>
        <v>10</v>
      </c>
      <c r="AF16" s="13">
        <f t="shared" si="15"/>
        <v>10</v>
      </c>
      <c r="AG16" s="13">
        <f t="shared" si="15"/>
        <v>10</v>
      </c>
      <c r="AH16" s="13">
        <f t="shared" si="15"/>
        <v>10</v>
      </c>
      <c r="AI16" s="13">
        <f t="shared" si="15"/>
        <v>10</v>
      </c>
      <c r="AJ16" s="13">
        <f t="shared" si="15"/>
        <v>10</v>
      </c>
      <c r="AK16" s="13">
        <f t="shared" si="15"/>
        <v>10</v>
      </c>
      <c r="AL16" s="13">
        <f t="shared" si="15"/>
        <v>10</v>
      </c>
    </row>
    <row r="17" spans="4:38" x14ac:dyDescent="0.25">
      <c r="E17" s="9">
        <v>1.9999999999999998</v>
      </c>
      <c r="F17" s="12">
        <v>10</v>
      </c>
      <c r="G17" s="12">
        <v>10</v>
      </c>
      <c r="H17" s="12">
        <v>10</v>
      </c>
      <c r="I17" s="12">
        <v>10</v>
      </c>
      <c r="J17" s="12">
        <v>10</v>
      </c>
      <c r="K17" s="12">
        <v>10</v>
      </c>
      <c r="L17" s="12">
        <v>10</v>
      </c>
      <c r="M17" s="12">
        <v>10</v>
      </c>
      <c r="N17" s="12">
        <v>10</v>
      </c>
      <c r="O17" s="12">
        <v>10</v>
      </c>
      <c r="P17" s="12">
        <v>10</v>
      </c>
      <c r="Q17" s="12">
        <v>10</v>
      </c>
      <c r="R17" s="12">
        <v>10</v>
      </c>
      <c r="S17" s="12">
        <v>10</v>
      </c>
      <c r="T17" s="12">
        <v>10</v>
      </c>
      <c r="W17" s="3" t="s">
        <v>13</v>
      </c>
      <c r="X17" s="16">
        <v>0</v>
      </c>
      <c r="Y17" s="16">
        <f>X17+$B$2</f>
        <v>0.2</v>
      </c>
      <c r="Z17" s="16">
        <f t="shared" ref="Z17:AL17" si="16">Y17+$B$2</f>
        <v>0.4</v>
      </c>
      <c r="AA17" s="16">
        <f t="shared" si="16"/>
        <v>0.60000000000000009</v>
      </c>
      <c r="AB17" s="16">
        <f t="shared" si="16"/>
        <v>0.8</v>
      </c>
      <c r="AC17" s="16">
        <f t="shared" si="16"/>
        <v>1</v>
      </c>
      <c r="AD17" s="16">
        <f t="shared" si="16"/>
        <v>1.2</v>
      </c>
      <c r="AE17" s="16">
        <f t="shared" si="16"/>
        <v>1.4</v>
      </c>
      <c r="AF17" s="16">
        <f t="shared" si="16"/>
        <v>1.5999999999999999</v>
      </c>
      <c r="AG17" s="16">
        <f t="shared" si="16"/>
        <v>1.7999999999999998</v>
      </c>
      <c r="AH17" s="16">
        <f t="shared" si="16"/>
        <v>1.9999999999999998</v>
      </c>
      <c r="AI17" s="16">
        <f t="shared" si="16"/>
        <v>2.1999999999999997</v>
      </c>
      <c r="AJ17" s="16">
        <f t="shared" si="16"/>
        <v>2.4</v>
      </c>
      <c r="AK17" s="16">
        <f t="shared" si="16"/>
        <v>2.6</v>
      </c>
      <c r="AL17" s="16">
        <f t="shared" si="16"/>
        <v>2.8000000000000003</v>
      </c>
    </row>
    <row r="18" spans="4:38" x14ac:dyDescent="0.25">
      <c r="E18" s="9">
        <v>1.7999999999999998</v>
      </c>
      <c r="F18" s="12">
        <v>8</v>
      </c>
      <c r="G18" s="13">
        <v>8.0283446446366185</v>
      </c>
      <c r="H18" s="13">
        <v>8.0648681515861966</v>
      </c>
      <c r="I18" s="13">
        <v>8.1180729969834662</v>
      </c>
      <c r="J18" s="13">
        <v>8.1952171636329254</v>
      </c>
      <c r="K18" s="13">
        <v>8.2968869294864831</v>
      </c>
      <c r="L18" s="13">
        <v>8.410290670388207</v>
      </c>
      <c r="M18" s="13">
        <v>8.522149050978447</v>
      </c>
      <c r="N18" s="13">
        <v>8.6241900925606156</v>
      </c>
      <c r="O18" s="13">
        <v>8.7130063475733497</v>
      </c>
      <c r="P18" s="13">
        <v>8.7884287798932164</v>
      </c>
      <c r="Q18" s="13">
        <v>8.852108464208337</v>
      </c>
      <c r="R18" s="13">
        <v>8.906603756200564</v>
      </c>
      <c r="S18" s="13">
        <v>8.9548687862825673</v>
      </c>
      <c r="T18" s="12">
        <v>9</v>
      </c>
      <c r="W18" s="3" t="s">
        <v>14</v>
      </c>
      <c r="X18" s="16">
        <v>2</v>
      </c>
      <c r="Y18" s="16">
        <v>2</v>
      </c>
      <c r="Z18" s="16">
        <v>2</v>
      </c>
      <c r="AA18" s="16">
        <v>2</v>
      </c>
      <c r="AB18" s="16">
        <v>2</v>
      </c>
      <c r="AC18" s="16">
        <v>2</v>
      </c>
      <c r="AD18" s="16">
        <v>2</v>
      </c>
      <c r="AE18" s="16">
        <v>2</v>
      </c>
      <c r="AF18" s="16">
        <v>2</v>
      </c>
      <c r="AG18" s="16">
        <v>2</v>
      </c>
      <c r="AH18" s="16">
        <v>2</v>
      </c>
      <c r="AI18" s="16">
        <v>2</v>
      </c>
      <c r="AJ18" s="16">
        <v>2</v>
      </c>
      <c r="AK18" s="16">
        <v>2</v>
      </c>
      <c r="AL18" s="16">
        <v>2</v>
      </c>
    </row>
    <row r="19" spans="4:38" x14ac:dyDescent="0.25">
      <c r="E19" s="9">
        <v>1.5999999999999999</v>
      </c>
      <c r="F19" s="12">
        <v>6</v>
      </c>
      <c r="G19" s="13">
        <v>6.0485104289698821</v>
      </c>
      <c r="H19" s="13">
        <v>6.1130549688493172</v>
      </c>
      <c r="I19" s="13">
        <v>6.2122066797623905</v>
      </c>
      <c r="J19" s="13">
        <v>6.3659087381646469</v>
      </c>
      <c r="K19" s="13">
        <v>6.5820398984502706</v>
      </c>
      <c r="L19" s="13">
        <v>6.8221267191715942</v>
      </c>
      <c r="M19" s="13">
        <v>7.0541154634856964</v>
      </c>
      <c r="N19" s="13">
        <v>7.2616049958911679</v>
      </c>
      <c r="O19" s="13">
        <v>7.4394065437434875</v>
      </c>
      <c r="P19" s="13">
        <v>7.5886003314465631</v>
      </c>
      <c r="Q19" s="13">
        <v>7.7134013416527551</v>
      </c>
      <c r="R19" s="13">
        <v>7.8194377890090214</v>
      </c>
      <c r="S19" s="13">
        <v>7.9128713969669349</v>
      </c>
      <c r="T19" s="12">
        <v>8</v>
      </c>
      <c r="W19" s="3" t="s">
        <v>10</v>
      </c>
      <c r="X19" s="16">
        <f>F30</f>
        <v>10</v>
      </c>
      <c r="Y19" s="16">
        <f t="shared" ref="Y19:AL19" si="17">G30</f>
        <v>9.8582767743048993</v>
      </c>
      <c r="Z19" s="16">
        <f t="shared" si="17"/>
        <v>9.6756592369132477</v>
      </c>
      <c r="AA19" s="16">
        <f t="shared" si="17"/>
        <v>9.4096350062731116</v>
      </c>
      <c r="AB19" s="16">
        <f t="shared" si="17"/>
        <v>9.0239141692067548</v>
      </c>
      <c r="AC19" s="16">
        <f t="shared" si="17"/>
        <v>8.5155653344107485</v>
      </c>
      <c r="AD19" s="16">
        <f t="shared" si="17"/>
        <v>7.9485466254543446</v>
      </c>
      <c r="AE19" s="16">
        <f t="shared" si="17"/>
        <v>7.3892547169568523</v>
      </c>
      <c r="AF19" s="16">
        <f t="shared" si="17"/>
        <v>6.8790495069462931</v>
      </c>
      <c r="AG19" s="16">
        <f t="shared" si="17"/>
        <v>6.4349682297533484</v>
      </c>
      <c r="AH19" s="16">
        <f t="shared" si="17"/>
        <v>6.0578560709646911</v>
      </c>
      <c r="AI19" s="16">
        <f t="shared" si="17"/>
        <v>5.7394576528168351</v>
      </c>
      <c r="AJ19" s="16">
        <f t="shared" si="17"/>
        <v>5.466981200625094</v>
      </c>
      <c r="AK19" s="16">
        <f t="shared" si="17"/>
        <v>5.225656058540622</v>
      </c>
      <c r="AL19" s="16">
        <f t="shared" si="17"/>
        <v>5</v>
      </c>
    </row>
    <row r="20" spans="4:38" x14ac:dyDescent="0.25">
      <c r="E20" s="9">
        <v>1.4</v>
      </c>
      <c r="F20" s="12">
        <v>4</v>
      </c>
      <c r="G20" s="13">
        <v>4.0526421055919997</v>
      </c>
      <c r="H20" s="13">
        <v>4.1266346221944961</v>
      </c>
      <c r="I20" s="13">
        <v>4.2517900265063417</v>
      </c>
      <c r="J20" s="13">
        <v>4.4741712288541624</v>
      </c>
      <c r="K20" s="13">
        <v>4.8432372317227745</v>
      </c>
      <c r="L20" s="13">
        <v>5.2420608782236009</v>
      </c>
      <c r="M20" s="13">
        <v>5.6105811276833002</v>
      </c>
      <c r="N20" s="13">
        <v>5.9287079302422629</v>
      </c>
      <c r="O20" s="13">
        <v>6.1944145466012808</v>
      </c>
      <c r="P20" s="13">
        <v>6.4131647064342969</v>
      </c>
      <c r="Q20" s="13">
        <v>6.5934588198020405</v>
      </c>
      <c r="R20" s="13">
        <v>6.7448746898961209</v>
      </c>
      <c r="S20" s="13">
        <v>6.8771790271662674</v>
      </c>
      <c r="T20" s="12">
        <v>7</v>
      </c>
      <c r="W20" s="3" t="s">
        <v>11</v>
      </c>
      <c r="X20" s="16">
        <f>F43</f>
        <v>0</v>
      </c>
      <c r="Y20" s="16">
        <f t="shared" ref="Y20:AL20" si="18">G43</f>
        <v>0</v>
      </c>
      <c r="Z20" s="16">
        <f t="shared" si="18"/>
        <v>0</v>
      </c>
      <c r="AA20" s="16">
        <f t="shared" si="18"/>
        <v>0</v>
      </c>
      <c r="AB20" s="16">
        <f t="shared" si="18"/>
        <v>0</v>
      </c>
      <c r="AC20" s="16">
        <f t="shared" si="18"/>
        <v>0</v>
      </c>
      <c r="AD20" s="16">
        <f t="shared" si="18"/>
        <v>0</v>
      </c>
      <c r="AE20" s="16">
        <f t="shared" si="18"/>
        <v>0</v>
      </c>
      <c r="AF20" s="16">
        <f t="shared" si="18"/>
        <v>0</v>
      </c>
      <c r="AG20" s="16">
        <f t="shared" si="18"/>
        <v>0</v>
      </c>
      <c r="AH20" s="16">
        <f t="shared" si="18"/>
        <v>0</v>
      </c>
      <c r="AI20" s="16">
        <f t="shared" si="18"/>
        <v>0</v>
      </c>
      <c r="AJ20" s="16">
        <f t="shared" si="18"/>
        <v>0</v>
      </c>
      <c r="AK20" s="16">
        <f t="shared" si="18"/>
        <v>0</v>
      </c>
      <c r="AL20" s="16">
        <f t="shared" si="18"/>
        <v>0</v>
      </c>
    </row>
    <row r="21" spans="4:38" x14ac:dyDescent="0.25">
      <c r="E21" s="9">
        <v>1.2</v>
      </c>
      <c r="F21" s="12">
        <v>2</v>
      </c>
      <c r="G21" s="13">
        <v>2.0354233746195227</v>
      </c>
      <c r="H21" s="13">
        <v>2.0890513949828047</v>
      </c>
      <c r="I21" s="13">
        <v>2.1941475879226786</v>
      </c>
      <c r="J21" s="13">
        <v>2.4357489384636093</v>
      </c>
      <c r="K21" s="13">
        <v>3.0746769519598747</v>
      </c>
      <c r="L21" s="13">
        <v>3.6922984750983372</v>
      </c>
      <c r="M21" s="13">
        <v>4.2174402919193676</v>
      </c>
      <c r="N21" s="13">
        <v>4.6482311096005819</v>
      </c>
      <c r="O21" s="13">
        <v>4.9963790701570057</v>
      </c>
      <c r="P21" s="13">
        <v>5.2761851872355647</v>
      </c>
      <c r="Q21" s="13">
        <v>5.50239459412618</v>
      </c>
      <c r="R21" s="13">
        <v>5.6894231609758679</v>
      </c>
      <c r="S21" s="13">
        <v>5.8509700422934783</v>
      </c>
      <c r="T21" s="12">
        <v>6</v>
      </c>
      <c r="W21" s="3" t="s">
        <v>12</v>
      </c>
      <c r="X21" s="16">
        <f>(X19^2+X20^2)^0.5</f>
        <v>10</v>
      </c>
      <c r="Y21" s="16">
        <f t="shared" ref="Y21" si="19">(Y19^2+Y20^2)^0.5</f>
        <v>9.8582767743048993</v>
      </c>
      <c r="Z21" s="16">
        <f t="shared" ref="Z21" si="20">(Z19^2+Z20^2)^0.5</f>
        <v>9.6756592369132477</v>
      </c>
      <c r="AA21" s="16">
        <f t="shared" ref="AA21" si="21">(AA19^2+AA20^2)^0.5</f>
        <v>9.4096350062731116</v>
      </c>
      <c r="AB21" s="16">
        <f t="shared" ref="AB21" si="22">(AB19^2+AB20^2)^0.5</f>
        <v>9.0239141692067548</v>
      </c>
      <c r="AC21" s="16">
        <f t="shared" ref="AC21" si="23">(AC19^2+AC20^2)^0.5</f>
        <v>8.5155653344107485</v>
      </c>
      <c r="AD21" s="16">
        <f t="shared" ref="AD21" si="24">(AD19^2+AD20^2)^0.5</f>
        <v>7.9485466254543446</v>
      </c>
      <c r="AE21" s="16">
        <f t="shared" ref="AE21" si="25">(AE19^2+AE20^2)^0.5</f>
        <v>7.3892547169568523</v>
      </c>
      <c r="AF21" s="16">
        <f t="shared" ref="AF21" si="26">(AF19^2+AF20^2)^0.5</f>
        <v>6.8790495069462931</v>
      </c>
      <c r="AG21" s="16">
        <f t="shared" ref="AG21" si="27">(AG19^2+AG20^2)^0.5</f>
        <v>6.4349682297533484</v>
      </c>
      <c r="AH21" s="16">
        <f t="shared" ref="AH21" si="28">(AH19^2+AH20^2)^0.5</f>
        <v>6.0578560709646911</v>
      </c>
      <c r="AI21" s="16">
        <f t="shared" ref="AI21" si="29">(AI19^2+AI20^2)^0.5</f>
        <v>5.7394576528168351</v>
      </c>
      <c r="AJ21" s="16">
        <f t="shared" ref="AJ21" si="30">(AJ19^2+AJ20^2)^0.5</f>
        <v>5.466981200625094</v>
      </c>
      <c r="AK21" s="16">
        <f t="shared" ref="AK21" si="31">(AK19^2+AK20^2)^0.5</f>
        <v>5.225656058540622</v>
      </c>
      <c r="AL21" s="16">
        <f t="shared" ref="AL21" si="32">(AL19^2+AL20^2)^0.5</f>
        <v>5</v>
      </c>
    </row>
    <row r="22" spans="4:38" x14ac:dyDescent="0.25">
      <c r="E22" s="9">
        <v>1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3">
        <v>1.3274231890832662</v>
      </c>
      <c r="L22" s="13">
        <v>2.2350158206024502</v>
      </c>
      <c r="M22" s="13">
        <v>2.9186505095593542</v>
      </c>
      <c r="N22" s="13">
        <v>3.4503972128945914</v>
      </c>
      <c r="O22" s="13">
        <v>3.8666855063401755</v>
      </c>
      <c r="P22" s="13">
        <v>4.1928024479233219</v>
      </c>
      <c r="Q22" s="13">
        <v>4.4505112666921081</v>
      </c>
      <c r="R22" s="13">
        <v>4.6594533620403888</v>
      </c>
      <c r="S22" s="13">
        <v>4.8372780037441734</v>
      </c>
      <c r="T22" s="12">
        <v>5</v>
      </c>
      <c r="W22" s="3" t="s">
        <v>15</v>
      </c>
      <c r="X22" s="16">
        <f>B5</f>
        <v>101325</v>
      </c>
      <c r="Y22" s="16">
        <f>(X22+(X21^2)/2)-(Y21^2)/2</f>
        <v>101326.4071895206</v>
      </c>
      <c r="Z22" s="16">
        <f t="shared" ref="Z22" si="33">(Y22+(Y21^2)/2)-(Z21^2)/2</f>
        <v>101328.19080916556</v>
      </c>
      <c r="AA22" s="16">
        <f t="shared" ref="AA22" si="34">(Z22+(Z21^2)/2)-(AA21^2)/2</f>
        <v>101330.72938452435</v>
      </c>
      <c r="AB22" s="16">
        <f t="shared" ref="AB22" si="35">(AA22+(AA21^2)/2)-(AB21^2)/2</f>
        <v>101334.28448653339</v>
      </c>
      <c r="AC22" s="16">
        <f t="shared" ref="AC22" si="36">(AB22+(AB21^2)/2)-(AC21^2)/2</f>
        <v>101338.74257351769</v>
      </c>
      <c r="AD22" s="16">
        <f t="shared" ref="AD22" si="37">(AC22+(AC21^2)/2)-(AD21^2)/2</f>
        <v>101343.41030327149</v>
      </c>
      <c r="AE22" s="16">
        <f t="shared" ref="AE22" si="38">(AD22+(AD21^2)/2)-(AE21^2)/2</f>
        <v>101347.69945736397</v>
      </c>
      <c r="AF22" s="16">
        <f t="shared" ref="AF22" si="39">(AE22+(AE21^2)/2)-(AF21^2)/2</f>
        <v>101351.3393389405</v>
      </c>
      <c r="AG22" s="16">
        <f t="shared" ref="AG22" si="40">(AF22+(AF21^2)/2)-(AG21^2)/2</f>
        <v>101354.29559194103</v>
      </c>
      <c r="AH22" s="16">
        <f t="shared" ref="AH22" si="41">(AG22+(AG21^2)/2)-(AH21^2)/2</f>
        <v>101356.65118991173</v>
      </c>
      <c r="AI22" s="16">
        <f t="shared" ref="AI22" si="42">(AH22+(AH21^2)/2)-(AI21^2)/2</f>
        <v>101358.52931292576</v>
      </c>
      <c r="AJ22" s="16">
        <f t="shared" ref="AJ22" si="43">(AI22+(AI21^2)/2)-(AJ21^2)/2</f>
        <v>101360.05605827601</v>
      </c>
      <c r="AK22" s="16">
        <f t="shared" ref="AK22" si="44">(AJ22+(AJ21^2)/2)-(AK21^2)/2</f>
        <v>101361.34625937892</v>
      </c>
      <c r="AL22" s="16">
        <f t="shared" ref="AL22" si="45">(AK22+(AK21^2)/2)-(AL21^2)/2</f>
        <v>101362.5</v>
      </c>
    </row>
    <row r="23" spans="4:38" x14ac:dyDescent="0.25">
      <c r="E23" s="9">
        <v>0.8</v>
      </c>
      <c r="F23" s="11"/>
      <c r="G23" s="11"/>
      <c r="H23" s="11"/>
      <c r="I23" s="11"/>
      <c r="J23" s="11"/>
      <c r="K23" s="12">
        <v>0</v>
      </c>
      <c r="L23" s="13">
        <v>1.0016911412800276</v>
      </c>
      <c r="M23" s="13">
        <v>1.7717487633342408</v>
      </c>
      <c r="N23" s="13">
        <v>2.3680217873172524</v>
      </c>
      <c r="O23" s="13">
        <v>2.8271633648453327</v>
      </c>
      <c r="P23" s="13">
        <v>3.1778278987093311</v>
      </c>
      <c r="Q23" s="13">
        <v>3.4473947238362554</v>
      </c>
      <c r="R23" s="13">
        <v>3.6606010604537653</v>
      </c>
      <c r="S23" s="13">
        <v>3.8386886347557412</v>
      </c>
      <c r="T23" s="12">
        <v>4</v>
      </c>
      <c r="W23" s="3" t="s">
        <v>16</v>
      </c>
      <c r="X23" s="16">
        <f>(X22-$B$5)/(($X$10^2)/2)</f>
        <v>0</v>
      </c>
      <c r="Y23" s="16">
        <f t="shared" ref="Y23" si="46">(Y22-$B$5)/(($X$10^2)/2)</f>
        <v>2.8143790411995724E-2</v>
      </c>
      <c r="Z23" s="16">
        <f t="shared" ref="Z23" si="47">(Z22-$B$5)/(($X$10^2)/2)</f>
        <v>6.3816183311282651E-2</v>
      </c>
      <c r="AA23" s="16">
        <f t="shared" ref="AA23" si="48">(AA22-$B$5)/(($X$10^2)/2)</f>
        <v>0.11458769048709655</v>
      </c>
      <c r="AB23" s="16">
        <f t="shared" ref="AB23" si="49">(AB22-$B$5)/(($X$10^2)/2)</f>
        <v>0.18568973066780017</v>
      </c>
      <c r="AC23" s="16">
        <f t="shared" ref="AC23" si="50">(AC22-$B$5)/(($X$10^2)/2)</f>
        <v>0.27485147035389673</v>
      </c>
      <c r="AD23" s="16">
        <f t="shared" ref="AD23" si="51">(AD22-$B$5)/(($X$10^2)/2)</f>
        <v>0.36820606542984025</v>
      </c>
      <c r="AE23" s="16">
        <f t="shared" ref="AE23" si="52">(AE22-$B$5)/(($X$10^2)/2)</f>
        <v>0.45398914727935336</v>
      </c>
      <c r="AF23" s="16">
        <f t="shared" ref="AF23" si="53">(AF22-$B$5)/(($X$10^2)/2)</f>
        <v>0.52678677880991021</v>
      </c>
      <c r="AG23" s="16">
        <f t="shared" ref="AG23" si="54">(AG22-$B$5)/(($X$10^2)/2)</f>
        <v>0.5859118388206116</v>
      </c>
      <c r="AH23" s="16">
        <f t="shared" ref="AH23" si="55">(AH22-$B$5)/(($X$10^2)/2)</f>
        <v>0.63302379823464439</v>
      </c>
      <c r="AI23" s="16">
        <f t="shared" ref="AI23" si="56">(AI22-$B$5)/(($X$10^2)/2)</f>
        <v>0.67058625851524989</v>
      </c>
      <c r="AJ23" s="16">
        <f t="shared" ref="AJ23" si="57">(AJ22-$B$5)/(($X$10^2)/2)</f>
        <v>0.70112116552016235</v>
      </c>
      <c r="AK23" s="16">
        <f t="shared" ref="AK23" si="58">(AK22-$B$5)/(($X$10^2)/2)</f>
        <v>0.72692518757830837</v>
      </c>
      <c r="AL23" s="16">
        <f t="shared" ref="AL23" si="59">(AL22-$B$5)/(($X$10^2)/2)</f>
        <v>0.75</v>
      </c>
    </row>
    <row r="24" spans="4:38" x14ac:dyDescent="0.25">
      <c r="E24" s="9">
        <v>0.60000000000000009</v>
      </c>
      <c r="F24" s="11"/>
      <c r="G24" s="11"/>
      <c r="H24" s="11"/>
      <c r="I24" s="11"/>
      <c r="J24" s="11"/>
      <c r="K24" s="11"/>
      <c r="L24" s="12">
        <v>0</v>
      </c>
      <c r="M24" s="13">
        <v>0.79863165113705437</v>
      </c>
      <c r="N24" s="13">
        <v>1.4227778605340753</v>
      </c>
      <c r="O24" s="13">
        <v>1.8961183260978016</v>
      </c>
      <c r="P24" s="13">
        <v>2.2439511207420249</v>
      </c>
      <c r="Q24" s="13">
        <v>2.5006387231603604</v>
      </c>
      <c r="R24" s="13">
        <v>2.6968675628275713</v>
      </c>
      <c r="S24" s="13">
        <v>2.85687549627611</v>
      </c>
      <c r="T24" s="12">
        <v>3</v>
      </c>
    </row>
    <row r="25" spans="4:38" x14ac:dyDescent="0.25">
      <c r="E25" s="9">
        <v>0.4</v>
      </c>
      <c r="F25" s="11"/>
      <c r="G25" s="11"/>
      <c r="H25" s="11"/>
      <c r="I25" s="11"/>
      <c r="J25" s="11"/>
      <c r="K25" s="11"/>
      <c r="L25" s="11"/>
      <c r="M25" s="12">
        <v>0</v>
      </c>
      <c r="N25" s="13">
        <v>0.62833971203020922</v>
      </c>
      <c r="O25" s="13">
        <v>1.09058100463137</v>
      </c>
      <c r="P25" s="13">
        <v>1.401219582748934</v>
      </c>
      <c r="Q25" s="13">
        <v>1.614341530369785</v>
      </c>
      <c r="R25" s="13">
        <v>1.7693550043487076</v>
      </c>
      <c r="S25" s="13">
        <v>1.8919458058747092</v>
      </c>
      <c r="T25" s="12">
        <v>2</v>
      </c>
    </row>
    <row r="26" spans="4:38" x14ac:dyDescent="0.25">
      <c r="E26" s="9">
        <v>0.2</v>
      </c>
      <c r="F26" s="11"/>
      <c r="G26" s="11"/>
      <c r="H26" s="11"/>
      <c r="I26" s="11"/>
      <c r="J26" s="11"/>
      <c r="K26" s="11"/>
      <c r="L26" s="11"/>
      <c r="M26" s="11"/>
      <c r="N26" s="12">
        <v>0</v>
      </c>
      <c r="O26" s="13">
        <v>0.43664642531333753</v>
      </c>
      <c r="P26" s="13">
        <v>0.65600470847209691</v>
      </c>
      <c r="Q26" s="13">
        <v>0.78615284134332397</v>
      </c>
      <c r="R26" s="13">
        <v>0.87426514230594765</v>
      </c>
      <c r="S26" s="13">
        <v>0.94155273537501172</v>
      </c>
      <c r="T26" s="12">
        <v>1</v>
      </c>
    </row>
    <row r="27" spans="4:38" x14ac:dyDescent="0.25">
      <c r="E27" s="9">
        <v>0</v>
      </c>
      <c r="F27" s="11"/>
      <c r="G27" s="11"/>
      <c r="H27" s="11"/>
      <c r="I27" s="11"/>
      <c r="J27" s="11"/>
      <c r="K27" s="11"/>
      <c r="L27" s="11"/>
      <c r="M27" s="11"/>
      <c r="N27" s="11"/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</row>
    <row r="28" spans="4:38" x14ac:dyDescent="0.25">
      <c r="E28" s="11"/>
      <c r="F28" s="9">
        <v>0</v>
      </c>
      <c r="G28" s="9">
        <v>0.2</v>
      </c>
      <c r="H28" s="9">
        <v>0.4</v>
      </c>
      <c r="I28" s="9">
        <v>0.60000000000000009</v>
      </c>
      <c r="J28" s="9">
        <v>0.8</v>
      </c>
      <c r="K28" s="9">
        <v>1</v>
      </c>
      <c r="L28" s="9">
        <v>1.2</v>
      </c>
      <c r="M28" s="9">
        <v>1.4</v>
      </c>
      <c r="N28" s="9">
        <v>1.5999999999999999</v>
      </c>
      <c r="O28" s="9">
        <v>1.7999999999999998</v>
      </c>
      <c r="P28" s="9">
        <v>1.9999999999999998</v>
      </c>
      <c r="Q28" s="9">
        <v>2.1999999999999997</v>
      </c>
      <c r="R28" s="9">
        <v>2.4</v>
      </c>
      <c r="S28" s="9">
        <v>2.6</v>
      </c>
      <c r="T28" s="9">
        <v>2.8000000000000003</v>
      </c>
    </row>
    <row r="30" spans="4:38" x14ac:dyDescent="0.25">
      <c r="D30" s="1" t="s">
        <v>10</v>
      </c>
      <c r="E30" s="9">
        <v>1.9999999999999998</v>
      </c>
      <c r="F30" s="12">
        <f>(F4-F5)/$B$2</f>
        <v>10</v>
      </c>
      <c r="G30" s="12">
        <f t="shared" ref="G30:T30" si="60">(G4-G5)/$B$2</f>
        <v>9.8582767743048993</v>
      </c>
      <c r="H30" s="12">
        <f t="shared" si="60"/>
        <v>9.6756592369132477</v>
      </c>
      <c r="I30" s="12">
        <f t="shared" si="60"/>
        <v>9.4096350062731116</v>
      </c>
      <c r="J30" s="12">
        <f t="shared" si="60"/>
        <v>9.0239141692067548</v>
      </c>
      <c r="K30" s="12">
        <f t="shared" si="60"/>
        <v>8.5155653344107485</v>
      </c>
      <c r="L30" s="12">
        <f t="shared" si="60"/>
        <v>7.9485466254543446</v>
      </c>
      <c r="M30" s="12">
        <f t="shared" si="60"/>
        <v>7.3892547169568523</v>
      </c>
      <c r="N30" s="12">
        <f t="shared" si="60"/>
        <v>6.8790495069462931</v>
      </c>
      <c r="O30" s="12">
        <f t="shared" si="60"/>
        <v>6.4349682297533484</v>
      </c>
      <c r="P30" s="12">
        <f t="shared" si="60"/>
        <v>6.0578560709646911</v>
      </c>
      <c r="Q30" s="12">
        <f t="shared" si="60"/>
        <v>5.7394576528168351</v>
      </c>
      <c r="R30" s="12">
        <f t="shared" si="60"/>
        <v>5.466981200625094</v>
      </c>
      <c r="S30" s="12">
        <f t="shared" si="60"/>
        <v>5.225656058540622</v>
      </c>
      <c r="T30" s="12">
        <f t="shared" si="60"/>
        <v>5</v>
      </c>
    </row>
    <row r="31" spans="4:38" x14ac:dyDescent="0.25">
      <c r="E31" s="9">
        <v>1.7999999999999998</v>
      </c>
      <c r="F31" s="13">
        <f>(F4-F6)/(2*$B$2)</f>
        <v>10</v>
      </c>
      <c r="G31" s="13">
        <f t="shared" ref="G31:T31" si="61">(G4-G6)/(2*$B$2)</f>
        <v>9.8787239255762884</v>
      </c>
      <c r="H31" s="13">
        <f t="shared" si="61"/>
        <v>9.7173625734293978</v>
      </c>
      <c r="I31" s="13">
        <f t="shared" si="61"/>
        <v>9.4694832934351414</v>
      </c>
      <c r="J31" s="13">
        <f t="shared" si="61"/>
        <v>9.0852281433126549</v>
      </c>
      <c r="K31" s="13">
        <f t="shared" si="61"/>
        <v>8.5449002384090633</v>
      </c>
      <c r="L31" s="13">
        <f t="shared" si="61"/>
        <v>7.9446831809076413</v>
      </c>
      <c r="M31" s="13">
        <f t="shared" si="61"/>
        <v>7.3647113164221807</v>
      </c>
      <c r="N31" s="13">
        <f t="shared" si="61"/>
        <v>6.8459874812299626</v>
      </c>
      <c r="O31" s="13">
        <f t="shared" si="61"/>
        <v>6.4014836115547746</v>
      </c>
      <c r="P31" s="13">
        <f t="shared" si="61"/>
        <v>6.0284991426726515</v>
      </c>
      <c r="Q31" s="13">
        <f t="shared" si="61"/>
        <v>5.7164966222087727</v>
      </c>
      <c r="R31" s="13">
        <f t="shared" si="61"/>
        <v>5.4514055095522647</v>
      </c>
      <c r="S31" s="13">
        <f t="shared" si="61"/>
        <v>5.2178214984638389</v>
      </c>
      <c r="T31" s="13">
        <f t="shared" si="61"/>
        <v>5</v>
      </c>
    </row>
    <row r="32" spans="4:38" x14ac:dyDescent="0.25">
      <c r="E32" s="9">
        <v>1.5999999999999999</v>
      </c>
      <c r="F32" s="13">
        <f t="shared" ref="F32:T32" si="62">(F5-F7)/(2*$B$2)</f>
        <v>10</v>
      </c>
      <c r="G32" s="13">
        <f t="shared" si="62"/>
        <v>9.9392563467326109</v>
      </c>
      <c r="H32" s="13">
        <f t="shared" si="62"/>
        <v>9.8455838215868354</v>
      </c>
      <c r="I32" s="13">
        <f t="shared" si="62"/>
        <v>9.6657074226548634</v>
      </c>
      <c r="J32" s="13">
        <f t="shared" si="62"/>
        <v>9.3026148311107644</v>
      </c>
      <c r="K32" s="13">
        <f t="shared" si="62"/>
        <v>8.634124234364684</v>
      </c>
      <c r="L32" s="13">
        <f t="shared" si="62"/>
        <v>7.9205744662253226</v>
      </c>
      <c r="M32" s="13">
        <f t="shared" si="62"/>
        <v>7.278919789102245</v>
      </c>
      <c r="N32" s="13">
        <f t="shared" si="62"/>
        <v>6.7387053841666456</v>
      </c>
      <c r="O32" s="13">
        <f t="shared" si="62"/>
        <v>6.2964794785126683</v>
      </c>
      <c r="P32" s="13">
        <f t="shared" si="62"/>
        <v>5.9381601613392476</v>
      </c>
      <c r="Q32" s="13">
        <f t="shared" si="62"/>
        <v>5.6466240910232353</v>
      </c>
      <c r="R32" s="13">
        <f t="shared" si="62"/>
        <v>5.4043226515917038</v>
      </c>
      <c r="S32" s="13">
        <f t="shared" si="62"/>
        <v>5.1942243900068537</v>
      </c>
      <c r="T32" s="13">
        <f t="shared" si="62"/>
        <v>5</v>
      </c>
    </row>
    <row r="33" spans="4:20" x14ac:dyDescent="0.25">
      <c r="E33" s="9">
        <v>1.4</v>
      </c>
      <c r="F33" s="13">
        <f t="shared" ref="F33:T33" si="63">(F6-F8)/(2*$B$2)</f>
        <v>10</v>
      </c>
      <c r="G33" s="13">
        <f t="shared" si="63"/>
        <v>10.032717636564458</v>
      </c>
      <c r="H33" s="13">
        <f t="shared" si="63"/>
        <v>10.060008936110165</v>
      </c>
      <c r="I33" s="13">
        <f t="shared" si="63"/>
        <v>10.045147731594385</v>
      </c>
      <c r="J33" s="13">
        <f t="shared" si="63"/>
        <v>9.8253995012268955</v>
      </c>
      <c r="K33" s="13">
        <f t="shared" si="63"/>
        <v>8.768407365110944</v>
      </c>
      <c r="L33" s="13">
        <f t="shared" si="63"/>
        <v>7.8245706049015489</v>
      </c>
      <c r="M33" s="13">
        <f t="shared" si="63"/>
        <v>7.0916879198643352</v>
      </c>
      <c r="N33" s="13">
        <f t="shared" si="63"/>
        <v>6.5334347030117712</v>
      </c>
      <c r="O33" s="13">
        <f t="shared" si="63"/>
        <v>6.1075686698342224</v>
      </c>
      <c r="P33" s="13">
        <f t="shared" si="63"/>
        <v>5.7810378456768436</v>
      </c>
      <c r="Q33" s="13">
        <f t="shared" si="63"/>
        <v>5.5275168561002381</v>
      </c>
      <c r="R33" s="13">
        <f t="shared" si="63"/>
        <v>5.3250365602251293</v>
      </c>
      <c r="S33" s="13">
        <f t="shared" si="63"/>
        <v>5.1547533816072173</v>
      </c>
      <c r="T33" s="13">
        <f t="shared" si="63"/>
        <v>5</v>
      </c>
    </row>
    <row r="34" spans="4:20" x14ac:dyDescent="0.25">
      <c r="E34" s="9">
        <v>1.2</v>
      </c>
      <c r="F34" s="13">
        <f t="shared" ref="F34:T39" si="64">(F7-F9)/(2*$B$2)</f>
        <v>10</v>
      </c>
      <c r="G34" s="13">
        <f t="shared" si="64"/>
        <v>10.131605266114937</v>
      </c>
      <c r="H34" s="13">
        <f t="shared" si="64"/>
        <v>10.316586559956539</v>
      </c>
      <c r="I34" s="13">
        <f t="shared" si="64"/>
        <v>10.62947507420858</v>
      </c>
      <c r="J34" s="13">
        <f t="shared" si="64"/>
        <v>11.185428084285856</v>
      </c>
      <c r="K34" s="13">
        <f t="shared" si="64"/>
        <v>8.789535115578488</v>
      </c>
      <c r="L34" s="13">
        <f t="shared" si="64"/>
        <v>7.5176126491593882</v>
      </c>
      <c r="M34" s="13">
        <f t="shared" si="64"/>
        <v>6.7298265469501724</v>
      </c>
      <c r="N34" s="13">
        <f t="shared" si="64"/>
        <v>6.1957767918493554</v>
      </c>
      <c r="O34" s="13">
        <f t="shared" si="64"/>
        <v>5.8193225967229987</v>
      </c>
      <c r="P34" s="13">
        <f t="shared" si="64"/>
        <v>5.5509056413176694</v>
      </c>
      <c r="Q34" s="13">
        <f t="shared" si="64"/>
        <v>5.3573688776145056</v>
      </c>
      <c r="R34" s="13">
        <f t="shared" si="64"/>
        <v>5.2135533156795528</v>
      </c>
      <c r="S34" s="13">
        <f t="shared" si="64"/>
        <v>5.09975255629183</v>
      </c>
      <c r="T34" s="13">
        <f t="shared" si="64"/>
        <v>5</v>
      </c>
    </row>
    <row r="35" spans="4:20" x14ac:dyDescent="0.25">
      <c r="E35" s="9">
        <v>1</v>
      </c>
      <c r="F35" s="12">
        <f>(F8-F9)/$B$2</f>
        <v>10</v>
      </c>
      <c r="G35" s="12">
        <f t="shared" ref="G35:N39" si="65">(G8-G9)/$B$2</f>
        <v>10.177116875718506</v>
      </c>
      <c r="H35" s="12">
        <f t="shared" si="65"/>
        <v>10.44525698092087</v>
      </c>
      <c r="I35" s="12">
        <f t="shared" si="65"/>
        <v>10.970737949940945</v>
      </c>
      <c r="J35" s="12">
        <f t="shared" si="65"/>
        <v>12.178744710920894</v>
      </c>
      <c r="K35" s="13">
        <f t="shared" si="64"/>
        <v>7.6866923964799909</v>
      </c>
      <c r="L35" s="13">
        <f t="shared" si="64"/>
        <v>6.7265183492303766</v>
      </c>
      <c r="M35" s="13">
        <f t="shared" si="64"/>
        <v>6.114228832904927</v>
      </c>
      <c r="N35" s="13">
        <f t="shared" si="64"/>
        <v>5.7005233147531147</v>
      </c>
      <c r="O35" s="13">
        <f t="shared" si="64"/>
        <v>5.4230392695706531</v>
      </c>
      <c r="P35" s="13">
        <f t="shared" si="64"/>
        <v>5.2458932258086683</v>
      </c>
      <c r="Q35" s="13">
        <f t="shared" si="64"/>
        <v>5.137499678556261</v>
      </c>
      <c r="R35" s="13">
        <f t="shared" si="64"/>
        <v>5.0720552530601326</v>
      </c>
      <c r="S35" s="13">
        <f t="shared" si="64"/>
        <v>5.0307035196326622</v>
      </c>
      <c r="T35" s="13">
        <f t="shared" si="64"/>
        <v>5</v>
      </c>
    </row>
    <row r="36" spans="4:20" x14ac:dyDescent="0.25">
      <c r="E36" s="9">
        <v>0.8</v>
      </c>
      <c r="F36" s="11"/>
      <c r="G36" s="11"/>
      <c r="H36" s="11"/>
      <c r="I36" s="11"/>
      <c r="J36" s="11"/>
      <c r="K36" s="12">
        <f t="shared" si="65"/>
        <v>6.6371159657029066</v>
      </c>
      <c r="L36" s="13">
        <f t="shared" si="64"/>
        <v>5.587539571888116</v>
      </c>
      <c r="M36" s="13">
        <f t="shared" si="64"/>
        <v>5.3000471655514581</v>
      </c>
      <c r="N36" s="13">
        <f t="shared" si="64"/>
        <v>5.0690483976469034</v>
      </c>
      <c r="O36" s="13">
        <f t="shared" si="64"/>
        <v>4.9264179656671558</v>
      </c>
      <c r="P36" s="13">
        <f t="shared" si="64"/>
        <v>4.8721283301629699</v>
      </c>
      <c r="Q36" s="13">
        <f t="shared" si="64"/>
        <v>4.874681368844068</v>
      </c>
      <c r="R36" s="13">
        <f t="shared" si="64"/>
        <v>4.9064645047668565</v>
      </c>
      <c r="S36" s="13">
        <f t="shared" si="64"/>
        <v>4.9510062722697405</v>
      </c>
      <c r="T36" s="13">
        <f t="shared" si="64"/>
        <v>5</v>
      </c>
    </row>
    <row r="37" spans="4:20" x14ac:dyDescent="0.25">
      <c r="E37" s="9">
        <v>0.60000000000000009</v>
      </c>
      <c r="F37" s="11"/>
      <c r="G37" s="11"/>
      <c r="H37" s="11"/>
      <c r="I37" s="11"/>
      <c r="J37" s="11"/>
      <c r="K37" s="11"/>
      <c r="L37" s="12">
        <f t="shared" si="65"/>
        <v>5.0084557299208639</v>
      </c>
      <c r="M37" s="13">
        <f t="shared" si="64"/>
        <v>4.4293719308085553</v>
      </c>
      <c r="N37" s="13">
        <f t="shared" si="64"/>
        <v>4.3492052102767476</v>
      </c>
      <c r="O37" s="13">
        <f t="shared" si="64"/>
        <v>4.3414559201714225</v>
      </c>
      <c r="P37" s="13">
        <f t="shared" si="64"/>
        <v>4.4415208082072866</v>
      </c>
      <c r="Q37" s="13">
        <f t="shared" si="64"/>
        <v>4.5826329983838976</v>
      </c>
      <c r="R37" s="13">
        <f t="shared" si="64"/>
        <v>4.728115151301215</v>
      </c>
      <c r="S37" s="13">
        <f t="shared" si="64"/>
        <v>4.8668570777963867</v>
      </c>
      <c r="T37" s="13">
        <f t="shared" si="64"/>
        <v>5</v>
      </c>
    </row>
    <row r="38" spans="4:20" x14ac:dyDescent="0.25">
      <c r="E38" s="9">
        <v>0.4</v>
      </c>
      <c r="F38" s="11"/>
      <c r="G38" s="11"/>
      <c r="H38" s="11"/>
      <c r="I38" s="11"/>
      <c r="J38" s="11"/>
      <c r="K38" s="11"/>
      <c r="L38" s="11"/>
      <c r="M38" s="12">
        <f t="shared" si="65"/>
        <v>3.9931582798353946</v>
      </c>
      <c r="N38" s="13">
        <f t="shared" si="64"/>
        <v>3.5569446728639487</v>
      </c>
      <c r="O38" s="13">
        <f t="shared" si="64"/>
        <v>3.6486797735308349</v>
      </c>
      <c r="P38" s="13">
        <f t="shared" si="64"/>
        <v>3.9698660508192694</v>
      </c>
      <c r="Q38" s="13">
        <f t="shared" si="64"/>
        <v>4.286214722892379</v>
      </c>
      <c r="R38" s="13">
        <f t="shared" si="64"/>
        <v>4.5565060644824369</v>
      </c>
      <c r="S38" s="13">
        <f t="shared" si="64"/>
        <v>4.7883069095483526</v>
      </c>
      <c r="T38" s="13">
        <f t="shared" si="64"/>
        <v>5</v>
      </c>
    </row>
    <row r="39" spans="4:20" x14ac:dyDescent="0.25">
      <c r="E39" s="9">
        <v>0.2</v>
      </c>
      <c r="F39" s="11"/>
      <c r="G39" s="11"/>
      <c r="H39" s="11"/>
      <c r="I39" s="11"/>
      <c r="J39" s="11"/>
      <c r="K39" s="11"/>
      <c r="L39" s="11"/>
      <c r="M39" s="11"/>
      <c r="N39" s="12">
        <f t="shared" si="65"/>
        <v>3.1416985814568066</v>
      </c>
      <c r="O39" s="13">
        <f t="shared" si="64"/>
        <v>2.7264525288689265</v>
      </c>
      <c r="P39" s="13">
        <f t="shared" si="64"/>
        <v>3.5030489776345477</v>
      </c>
      <c r="Q39" s="13">
        <f t="shared" si="64"/>
        <v>4.0358538447508288</v>
      </c>
      <c r="R39" s="13">
        <f t="shared" si="64"/>
        <v>4.4233875258612576</v>
      </c>
      <c r="S39" s="13">
        <f t="shared" si="64"/>
        <v>4.7298645224998932</v>
      </c>
      <c r="T39" s="13">
        <f t="shared" si="64"/>
        <v>5</v>
      </c>
    </row>
    <row r="40" spans="4:20" x14ac:dyDescent="0.25">
      <c r="E40" s="9">
        <v>0</v>
      </c>
      <c r="F40" s="11"/>
      <c r="G40" s="11"/>
      <c r="H40" s="11"/>
      <c r="I40" s="11"/>
      <c r="J40" s="11"/>
      <c r="K40" s="11"/>
      <c r="L40" s="11"/>
      <c r="M40" s="11"/>
      <c r="N40" s="11"/>
      <c r="O40" s="12">
        <f t="shared" ref="O40:S40" si="66">(O13-O14)/$B$2</f>
        <v>2.1832321413793334</v>
      </c>
      <c r="P40" s="12">
        <f t="shared" si="66"/>
        <v>3.2800235617569942</v>
      </c>
      <c r="Q40" s="12">
        <f t="shared" si="66"/>
        <v>3.9307642264347868</v>
      </c>
      <c r="R40" s="12">
        <f t="shared" si="66"/>
        <v>4.3713257263338035</v>
      </c>
      <c r="S40" s="12">
        <f t="shared" si="66"/>
        <v>4.7077636852258209</v>
      </c>
      <c r="T40" s="12">
        <f t="shared" ref="T40" si="67">(T13-T14)/$B$2</f>
        <v>5</v>
      </c>
    </row>
    <row r="41" spans="4:20" x14ac:dyDescent="0.25">
      <c r="E41" s="11"/>
      <c r="F41" s="9">
        <v>0</v>
      </c>
      <c r="G41" s="9">
        <v>0.2</v>
      </c>
      <c r="H41" s="9">
        <v>0.4</v>
      </c>
      <c r="I41" s="9">
        <v>0.60000000000000009</v>
      </c>
      <c r="J41" s="9">
        <v>0.8</v>
      </c>
      <c r="K41" s="9">
        <v>1</v>
      </c>
      <c r="L41" s="9">
        <v>1.2</v>
      </c>
      <c r="M41" s="9">
        <v>1.4</v>
      </c>
      <c r="N41" s="9">
        <v>1.5999999999999999</v>
      </c>
      <c r="O41" s="9">
        <v>1.7999999999999998</v>
      </c>
      <c r="P41" s="9">
        <v>1.9999999999999998</v>
      </c>
      <c r="Q41" s="9">
        <v>2.1999999999999997</v>
      </c>
      <c r="R41" s="9">
        <v>2.4</v>
      </c>
      <c r="S41" s="9">
        <v>2.6</v>
      </c>
      <c r="T41" s="9">
        <v>2.8000000000000003</v>
      </c>
    </row>
    <row r="43" spans="4:20" x14ac:dyDescent="0.25">
      <c r="D43" s="1" t="s">
        <v>11</v>
      </c>
      <c r="E43" s="9">
        <v>1.9999999999999998</v>
      </c>
      <c r="F43" s="12">
        <f>-(G4-F4)/$B$2</f>
        <v>0</v>
      </c>
      <c r="G43" s="13">
        <f>-(H4-F4)/($B$2*2)</f>
        <v>0</v>
      </c>
      <c r="H43" s="13">
        <f t="shared" ref="H43:S43" si="68">-(I4-G4)/($B$2*2)</f>
        <v>0</v>
      </c>
      <c r="I43" s="13">
        <f t="shared" si="68"/>
        <v>0</v>
      </c>
      <c r="J43" s="13">
        <f t="shared" si="68"/>
        <v>0</v>
      </c>
      <c r="K43" s="13">
        <f t="shared" si="68"/>
        <v>0</v>
      </c>
      <c r="L43" s="13">
        <f t="shared" si="68"/>
        <v>0</v>
      </c>
      <c r="M43" s="13">
        <f t="shared" si="68"/>
        <v>0</v>
      </c>
      <c r="N43" s="13">
        <f t="shared" si="68"/>
        <v>0</v>
      </c>
      <c r="O43" s="13">
        <f t="shared" si="68"/>
        <v>0</v>
      </c>
      <c r="P43" s="13">
        <f t="shared" si="68"/>
        <v>0</v>
      </c>
      <c r="Q43" s="13">
        <f t="shared" si="68"/>
        <v>0</v>
      </c>
      <c r="R43" s="13">
        <f t="shared" si="68"/>
        <v>0</v>
      </c>
      <c r="S43" s="13">
        <f t="shared" si="68"/>
        <v>0</v>
      </c>
      <c r="T43" s="12">
        <f>-(T4-S4)/$B$2</f>
        <v>0</v>
      </c>
    </row>
    <row r="44" spans="4:20" x14ac:dyDescent="0.25">
      <c r="E44" s="9">
        <v>1.7999999999999998</v>
      </c>
      <c r="F44" s="12">
        <f t="shared" ref="F44:F48" si="69">-(G5-F5)/$B$2</f>
        <v>-0.14172322569510065</v>
      </c>
      <c r="G44" s="13">
        <f t="shared" ref="G44:S44" si="70">-(H5-F5)/($B$2*2)</f>
        <v>-0.16217038154337615</v>
      </c>
      <c r="H44" s="13">
        <f t="shared" si="70"/>
        <v>-0.2243208840158939</v>
      </c>
      <c r="I44" s="13">
        <f t="shared" si="70"/>
        <v>-0.32587253385324644</v>
      </c>
      <c r="J44" s="13">
        <f t="shared" si="70"/>
        <v>-0.44703483593118154</v>
      </c>
      <c r="K44" s="13">
        <f t="shared" si="70"/>
        <v>-0.53768377187620509</v>
      </c>
      <c r="L44" s="13">
        <f t="shared" si="70"/>
        <v>-0.56315530872694808</v>
      </c>
      <c r="M44" s="13">
        <f t="shared" si="70"/>
        <v>-0.53474855925402576</v>
      </c>
      <c r="N44" s="13">
        <f t="shared" si="70"/>
        <v>-0.47714324360175198</v>
      </c>
      <c r="O44" s="13">
        <f t="shared" si="70"/>
        <v>-0.410596717990801</v>
      </c>
      <c r="P44" s="13">
        <f t="shared" si="70"/>
        <v>-0.34775528846825665</v>
      </c>
      <c r="Q44" s="13">
        <f t="shared" si="70"/>
        <v>-0.29543743516979859</v>
      </c>
      <c r="R44" s="13">
        <f t="shared" si="70"/>
        <v>-0.25690079713810654</v>
      </c>
      <c r="S44" s="13">
        <f t="shared" si="70"/>
        <v>-0.23349060031254698</v>
      </c>
      <c r="T44" s="12">
        <f t="shared" ref="T44:T53" si="71">-(T5-S5)/$B$2</f>
        <v>-0.22565605854062198</v>
      </c>
    </row>
    <row r="45" spans="4:20" x14ac:dyDescent="0.25">
      <c r="E45" s="9">
        <v>1.5999999999999999</v>
      </c>
      <c r="F45" s="12">
        <f t="shared" si="69"/>
        <v>-0.24255214884742138</v>
      </c>
      <c r="G45" s="13">
        <f t="shared" ref="G45:S45" si="72">-(H6-F6)/($B$2*2)</f>
        <v>-0.2826374265706022</v>
      </c>
      <c r="H45" s="13">
        <f t="shared" si="72"/>
        <v>-0.40924063214114792</v>
      </c>
      <c r="I45" s="13">
        <f t="shared" si="72"/>
        <v>-0.63213443011674197</v>
      </c>
      <c r="J45" s="13">
        <f t="shared" si="72"/>
        <v>-0.92458305502607807</v>
      </c>
      <c r="K45" s="13">
        <f t="shared" si="72"/>
        <v>-1.1405449624050146</v>
      </c>
      <c r="L45" s="13">
        <f t="shared" si="72"/>
        <v>-1.1801889219868822</v>
      </c>
      <c r="M45" s="13">
        <f t="shared" si="72"/>
        <v>-1.0986956996776787</v>
      </c>
      <c r="N45" s="13">
        <f t="shared" si="72"/>
        <v>-0.9632277048674065</v>
      </c>
      <c r="O45" s="13">
        <f t="shared" si="72"/>
        <v>-0.81748833855731062</v>
      </c>
      <c r="P45" s="13">
        <f t="shared" si="72"/>
        <v>-0.68498698934600144</v>
      </c>
      <c r="Q45" s="13">
        <f t="shared" si="72"/>
        <v>-0.57709363312038686</v>
      </c>
      <c r="R45" s="13">
        <f t="shared" si="72"/>
        <v>-0.49867512374493383</v>
      </c>
      <c r="S45" s="13">
        <f t="shared" si="72"/>
        <v>-0.45140550955226511</v>
      </c>
      <c r="T45" s="12">
        <f t="shared" si="71"/>
        <v>-0.43564299692767872</v>
      </c>
    </row>
    <row r="46" spans="4:20" x14ac:dyDescent="0.25">
      <c r="E46" s="9">
        <v>1.4</v>
      </c>
      <c r="F46" s="12">
        <f t="shared" si="69"/>
        <v>-0.26321053222987612</v>
      </c>
      <c r="G46" s="13">
        <f t="shared" ref="G46:S46" si="73">-(H7-F7)/($B$2*2)</f>
        <v>-0.31658655995653984</v>
      </c>
      <c r="H46" s="13">
        <f t="shared" si="73"/>
        <v>-0.49786980809364278</v>
      </c>
      <c r="I46" s="13">
        <f t="shared" si="73"/>
        <v>-0.86884152432931794</v>
      </c>
      <c r="J46" s="13">
        <f t="shared" si="73"/>
        <v>-1.4786180242213609</v>
      </c>
      <c r="K46" s="13">
        <f t="shared" si="73"/>
        <v>-1.9197241367616469</v>
      </c>
      <c r="L46" s="13">
        <f t="shared" si="73"/>
        <v>-1.9183597539893871</v>
      </c>
      <c r="M46" s="13">
        <f t="shared" si="73"/>
        <v>-1.7166176413127032</v>
      </c>
      <c r="N46" s="13">
        <f t="shared" si="73"/>
        <v>-1.4595835541913282</v>
      </c>
      <c r="O46" s="13">
        <f t="shared" si="73"/>
        <v>-1.2111419408181989</v>
      </c>
      <c r="P46" s="13">
        <f t="shared" si="73"/>
        <v>-0.99761067595768971</v>
      </c>
      <c r="Q46" s="13">
        <f t="shared" si="73"/>
        <v>-0.82927494491734199</v>
      </c>
      <c r="R46" s="13">
        <f t="shared" si="73"/>
        <v>-0.70930049815448815</v>
      </c>
      <c r="S46" s="13">
        <f t="shared" si="73"/>
        <v>-0.6378132519042512</v>
      </c>
      <c r="T46" s="12">
        <f t="shared" si="71"/>
        <v>-0.61410483855433018</v>
      </c>
    </row>
    <row r="47" spans="4:20" x14ac:dyDescent="0.25">
      <c r="E47" s="9">
        <v>1.2</v>
      </c>
      <c r="F47" s="12">
        <f t="shared" si="69"/>
        <v>-0.17711687571850598</v>
      </c>
      <c r="G47" s="13">
        <f t="shared" ref="G47:S47" si="74">-(H8-F8)/($B$2*2)</f>
        <v>-0.22262849046043587</v>
      </c>
      <c r="H47" s="13">
        <f t="shared" si="74"/>
        <v>-0.39681053711121961</v>
      </c>
      <c r="I47" s="13">
        <f t="shared" si="74"/>
        <v>-0.86674386500001144</v>
      </c>
      <c r="J47" s="13">
        <f t="shared" si="74"/>
        <v>-2.2013234215095188</v>
      </c>
      <c r="K47" s="13">
        <f t="shared" si="74"/>
        <v>-3.1413738587303617</v>
      </c>
      <c r="L47" s="13">
        <f t="shared" si="74"/>
        <v>-2.8569083672334914</v>
      </c>
      <c r="M47" s="13">
        <f t="shared" si="74"/>
        <v>-2.3898316015674568</v>
      </c>
      <c r="N47" s="13">
        <f t="shared" si="74"/>
        <v>-1.9473469548975197</v>
      </c>
      <c r="O47" s="13">
        <f t="shared" si="74"/>
        <v>-1.5698851958922377</v>
      </c>
      <c r="P47" s="13">
        <f t="shared" si="74"/>
        <v>-1.2650388030799853</v>
      </c>
      <c r="Q47" s="13">
        <f t="shared" si="74"/>
        <v>-1.0330949185721017</v>
      </c>
      <c r="R47" s="13">
        <f t="shared" si="74"/>
        <v>-0.87143859823795466</v>
      </c>
      <c r="S47" s="13">
        <f t="shared" si="74"/>
        <v>-0.77644206977739438</v>
      </c>
      <c r="T47" s="12">
        <f t="shared" si="71"/>
        <v>-0.7451497601421142</v>
      </c>
    </row>
    <row r="48" spans="4:20" x14ac:dyDescent="0.25">
      <c r="E48" s="9">
        <v>1</v>
      </c>
      <c r="F48" s="12">
        <f t="shared" si="69"/>
        <v>0</v>
      </c>
      <c r="G48" s="13">
        <f t="shared" ref="G48:S53" si="75">-(H9-F9)/($B$2*2)</f>
        <v>0</v>
      </c>
      <c r="H48" s="13">
        <f t="shared" si="75"/>
        <v>0</v>
      </c>
      <c r="I48" s="13">
        <f t="shared" si="75"/>
        <v>0</v>
      </c>
      <c r="J48" s="13">
        <f t="shared" si="75"/>
        <v>-3.3185579828514533</v>
      </c>
      <c r="K48" s="13">
        <f t="shared" si="75"/>
        <v>-5.587539571888116</v>
      </c>
      <c r="L48" s="13">
        <f t="shared" si="75"/>
        <v>-3.9780683226177027</v>
      </c>
      <c r="M48" s="13">
        <f t="shared" si="75"/>
        <v>-3.0384534986227361</v>
      </c>
      <c r="N48" s="13">
        <f t="shared" si="75"/>
        <v>-2.3700875044185019</v>
      </c>
      <c r="O48" s="13">
        <f t="shared" si="75"/>
        <v>-1.8560130913498851</v>
      </c>
      <c r="P48" s="13">
        <f t="shared" si="75"/>
        <v>-1.459564395066183</v>
      </c>
      <c r="Q48" s="13">
        <f t="shared" si="75"/>
        <v>-1.1666272705554581</v>
      </c>
      <c r="R48" s="13">
        <f t="shared" si="75"/>
        <v>-0.96691681947716379</v>
      </c>
      <c r="S48" s="13">
        <f t="shared" si="75"/>
        <v>-0.85136656758380447</v>
      </c>
      <c r="T48" s="12">
        <f t="shared" si="71"/>
        <v>-0.81360995113799017</v>
      </c>
    </row>
    <row r="49" spans="4:20" x14ac:dyDescent="0.25">
      <c r="E49" s="9">
        <v>0.8</v>
      </c>
      <c r="F49" s="11"/>
      <c r="G49" s="14"/>
      <c r="H49" s="14"/>
      <c r="I49" s="14"/>
      <c r="J49" s="14"/>
      <c r="K49" s="12">
        <f t="shared" ref="K49" si="76">-(L10-K10)/$B$2</f>
        <v>-5.0084557299208639</v>
      </c>
      <c r="L49" s="13">
        <f t="shared" si="75"/>
        <v>-4.4293719308085553</v>
      </c>
      <c r="M49" s="13">
        <f t="shared" si="75"/>
        <v>-3.4158266360447187</v>
      </c>
      <c r="N49" s="13">
        <f t="shared" si="75"/>
        <v>-2.6385365182317941</v>
      </c>
      <c r="O49" s="13">
        <f t="shared" si="75"/>
        <v>-2.0245152848366841</v>
      </c>
      <c r="P49" s="13">
        <f t="shared" si="75"/>
        <v>-1.5505783940943774</v>
      </c>
      <c r="Q49" s="13">
        <f t="shared" si="75"/>
        <v>-1.2069328913206379</v>
      </c>
      <c r="R49" s="13">
        <f t="shared" si="75"/>
        <v>-0.9782347571615535</v>
      </c>
      <c r="S49" s="13">
        <f t="shared" si="75"/>
        <v>-0.84849732283752699</v>
      </c>
      <c r="T49" s="12">
        <f t="shared" si="71"/>
        <v>-0.80655679940743852</v>
      </c>
    </row>
    <row r="50" spans="4:20" x14ac:dyDescent="0.25">
      <c r="E50" s="9">
        <v>0.60000000000000009</v>
      </c>
      <c r="F50" s="11"/>
      <c r="G50" s="14"/>
      <c r="H50" s="14"/>
      <c r="I50" s="14"/>
      <c r="J50" s="14"/>
      <c r="K50" s="14"/>
      <c r="L50" s="12">
        <f t="shared" ref="L50" si="77">-(M11-L11)/$B$2</f>
        <v>-3.9931582798353946</v>
      </c>
      <c r="M50" s="13">
        <f t="shared" si="75"/>
        <v>-3.5569446728639487</v>
      </c>
      <c r="N50" s="13">
        <f t="shared" si="75"/>
        <v>-2.7437167043028041</v>
      </c>
      <c r="O50" s="13">
        <f t="shared" si="75"/>
        <v>-2.0529331588338184</v>
      </c>
      <c r="P50" s="13">
        <f t="shared" si="75"/>
        <v>-1.511300991889271</v>
      </c>
      <c r="Q50" s="13">
        <f t="shared" si="75"/>
        <v>-1.132291095951572</v>
      </c>
      <c r="R50" s="13">
        <f t="shared" si="75"/>
        <v>-0.8905919160514908</v>
      </c>
      <c r="S50" s="13">
        <f t="shared" si="75"/>
        <v>-0.75783107235066094</v>
      </c>
      <c r="T50" s="12">
        <f t="shared" si="71"/>
        <v>-0.7156224956774726</v>
      </c>
    </row>
    <row r="51" spans="4:20" x14ac:dyDescent="0.25">
      <c r="E51" s="9">
        <v>0.4</v>
      </c>
      <c r="F51" s="11"/>
      <c r="G51" s="14"/>
      <c r="H51" s="14"/>
      <c r="I51" s="14"/>
      <c r="J51" s="14"/>
      <c r="K51" s="14"/>
      <c r="L51" s="14"/>
      <c r="M51" s="12">
        <f t="shared" ref="M51" si="78">-(N12-M12)/$B$2</f>
        <v>-3.1416985814568066</v>
      </c>
      <c r="N51" s="13">
        <f t="shared" si="75"/>
        <v>-2.7264525288689265</v>
      </c>
      <c r="O51" s="13">
        <f t="shared" si="75"/>
        <v>-1.9321996869061446</v>
      </c>
      <c r="P51" s="13">
        <f t="shared" si="75"/>
        <v>-1.3094013158819022</v>
      </c>
      <c r="Q51" s="13">
        <f t="shared" si="75"/>
        <v>-0.92033854822671013</v>
      </c>
      <c r="R51" s="13">
        <f t="shared" si="75"/>
        <v>-0.69401067774906455</v>
      </c>
      <c r="S51" s="13">
        <f t="shared" si="75"/>
        <v>-0.57661247413874184</v>
      </c>
      <c r="T51" s="12">
        <f t="shared" si="71"/>
        <v>-0.54027095500021272</v>
      </c>
    </row>
    <row r="52" spans="4:20" x14ac:dyDescent="0.25">
      <c r="E52" s="9">
        <v>0.2</v>
      </c>
      <c r="F52" s="11"/>
      <c r="G52" s="14"/>
      <c r="H52" s="14"/>
      <c r="I52" s="14"/>
      <c r="J52" s="14"/>
      <c r="K52" s="14"/>
      <c r="L52" s="14"/>
      <c r="M52" s="14"/>
      <c r="N52" s="12">
        <f t="shared" ref="N52" si="79">-(O13-N13)/$B$2</f>
        <v>-2.1832321413793334</v>
      </c>
      <c r="O52" s="13">
        <f t="shared" si="75"/>
        <v>-1.6400117808784971</v>
      </c>
      <c r="P52" s="13">
        <f t="shared" si="75"/>
        <v>-0.87376604252772661</v>
      </c>
      <c r="Q52" s="13">
        <f t="shared" si="75"/>
        <v>-0.54565108228840475</v>
      </c>
      <c r="R52" s="13">
        <f t="shared" si="75"/>
        <v>-0.38849972939551697</v>
      </c>
      <c r="S52" s="13">
        <f t="shared" si="75"/>
        <v>-0.314337136833098</v>
      </c>
      <c r="T52" s="12">
        <f t="shared" si="71"/>
        <v>-0.29223631477417911</v>
      </c>
    </row>
    <row r="53" spans="4:20" x14ac:dyDescent="0.25">
      <c r="E53" s="9">
        <v>0</v>
      </c>
      <c r="F53" s="11"/>
      <c r="G53" s="14"/>
      <c r="H53" s="14"/>
      <c r="I53" s="14"/>
      <c r="J53" s="14"/>
      <c r="K53" s="14"/>
      <c r="L53" s="14"/>
      <c r="M53" s="14"/>
      <c r="N53" s="14"/>
      <c r="O53" s="12">
        <f t="shared" ref="O53" si="80">-(P14-O14)/$B$2</f>
        <v>0</v>
      </c>
      <c r="P53" s="13">
        <f t="shared" si="75"/>
        <v>0</v>
      </c>
      <c r="Q53" s="13">
        <f t="shared" si="75"/>
        <v>0</v>
      </c>
      <c r="R53" s="13">
        <f t="shared" si="75"/>
        <v>0</v>
      </c>
      <c r="S53" s="13">
        <f t="shared" si="75"/>
        <v>0</v>
      </c>
      <c r="T53" s="12">
        <f t="shared" si="71"/>
        <v>0</v>
      </c>
    </row>
    <row r="54" spans="4:20" x14ac:dyDescent="0.25">
      <c r="E54" s="11"/>
      <c r="F54" s="9">
        <v>0</v>
      </c>
      <c r="G54" s="9">
        <v>0.2</v>
      </c>
      <c r="H54" s="9">
        <v>0.4</v>
      </c>
      <c r="I54" s="9">
        <v>0.60000000000000009</v>
      </c>
      <c r="J54" s="9">
        <v>0.8</v>
      </c>
      <c r="K54" s="9">
        <v>1</v>
      </c>
      <c r="L54" s="9">
        <v>1.2</v>
      </c>
      <c r="M54" s="9">
        <v>1.4</v>
      </c>
      <c r="N54" s="9">
        <v>1.5999999999999999</v>
      </c>
      <c r="O54" s="9">
        <v>1.7999999999999998</v>
      </c>
      <c r="P54" s="9">
        <v>1.9999999999999998</v>
      </c>
      <c r="Q54" s="9">
        <v>2.1999999999999997</v>
      </c>
      <c r="R54" s="9">
        <v>2.4</v>
      </c>
      <c r="S54" s="9">
        <v>2.6</v>
      </c>
      <c r="T54" s="9">
        <v>2.8000000000000003</v>
      </c>
    </row>
    <row r="56" spans="4:20" x14ac:dyDescent="0.25">
      <c r="D56" s="1" t="s">
        <v>12</v>
      </c>
      <c r="E56" s="9">
        <v>1.9999999999999998</v>
      </c>
      <c r="F56" s="12">
        <f>(F30^2+F43^2)^(0.5)</f>
        <v>10</v>
      </c>
      <c r="G56" s="12">
        <f t="shared" ref="G56:T56" si="81">(G30^2+G43^2)^(0.5)</f>
        <v>9.8582767743048993</v>
      </c>
      <c r="H56" s="12">
        <f t="shared" si="81"/>
        <v>9.6756592369132477</v>
      </c>
      <c r="I56" s="12">
        <f t="shared" si="81"/>
        <v>9.4096350062731116</v>
      </c>
      <c r="J56" s="12">
        <f t="shared" si="81"/>
        <v>9.0239141692067548</v>
      </c>
      <c r="K56" s="12">
        <f t="shared" si="81"/>
        <v>8.5155653344107485</v>
      </c>
      <c r="L56" s="12">
        <f t="shared" si="81"/>
        <v>7.9485466254543446</v>
      </c>
      <c r="M56" s="12">
        <f t="shared" si="81"/>
        <v>7.3892547169568523</v>
      </c>
      <c r="N56" s="12">
        <f t="shared" si="81"/>
        <v>6.8790495069462931</v>
      </c>
      <c r="O56" s="12">
        <f t="shared" si="81"/>
        <v>6.4349682297533484</v>
      </c>
      <c r="P56" s="12">
        <f t="shared" si="81"/>
        <v>6.0578560709646911</v>
      </c>
      <c r="Q56" s="12">
        <f t="shared" si="81"/>
        <v>5.7394576528168351</v>
      </c>
      <c r="R56" s="12">
        <f t="shared" si="81"/>
        <v>5.466981200625094</v>
      </c>
      <c r="S56" s="12">
        <f t="shared" si="81"/>
        <v>5.225656058540622</v>
      </c>
      <c r="T56" s="12">
        <f t="shared" si="81"/>
        <v>5</v>
      </c>
    </row>
    <row r="57" spans="4:20" x14ac:dyDescent="0.25">
      <c r="E57" s="9">
        <v>1.7999999999999998</v>
      </c>
      <c r="F57" s="12">
        <f t="shared" ref="F57:T57" si="82">(F31^2+F44^2)^(0.5)</f>
        <v>10.001004223211858</v>
      </c>
      <c r="G57" s="13">
        <f t="shared" si="82"/>
        <v>9.8800549406571267</v>
      </c>
      <c r="H57" s="13">
        <f t="shared" si="82"/>
        <v>9.7199514012412678</v>
      </c>
      <c r="I57" s="13">
        <f t="shared" si="82"/>
        <v>9.4750887464428111</v>
      </c>
      <c r="J57" s="13">
        <f t="shared" si="82"/>
        <v>9.0962195752178463</v>
      </c>
      <c r="K57" s="13">
        <f t="shared" si="82"/>
        <v>8.5618002734765017</v>
      </c>
      <c r="L57" s="13">
        <f t="shared" si="82"/>
        <v>7.9646176773743571</v>
      </c>
      <c r="M57" s="13">
        <f t="shared" si="82"/>
        <v>7.3840997281903764</v>
      </c>
      <c r="N57" s="13">
        <f t="shared" si="82"/>
        <v>6.8625950097665074</v>
      </c>
      <c r="O57" s="13">
        <f t="shared" si="82"/>
        <v>6.4146381109014383</v>
      </c>
      <c r="P57" s="13">
        <f t="shared" si="82"/>
        <v>6.0385209823153332</v>
      </c>
      <c r="Q57" s="13">
        <f t="shared" si="82"/>
        <v>5.7241258642542112</v>
      </c>
      <c r="R57" s="13">
        <f t="shared" si="82"/>
        <v>5.4574554555348396</v>
      </c>
      <c r="S57" s="13">
        <f t="shared" si="82"/>
        <v>5.2230430833246757</v>
      </c>
      <c r="T57" s="12">
        <f t="shared" si="82"/>
        <v>5.0050894753996245</v>
      </c>
    </row>
    <row r="58" spans="4:20" x14ac:dyDescent="0.25">
      <c r="E58" s="9">
        <v>1.5999999999999999</v>
      </c>
      <c r="F58" s="12">
        <f t="shared" ref="F58:T58" si="83">(F32^2+F45^2)^(0.5)</f>
        <v>10.00294114472891</v>
      </c>
      <c r="G58" s="13">
        <f t="shared" si="83"/>
        <v>9.9432741408935783</v>
      </c>
      <c r="H58" s="13">
        <f t="shared" si="83"/>
        <v>9.8540853803327533</v>
      </c>
      <c r="I58" s="13">
        <f t="shared" si="83"/>
        <v>9.6863560701692322</v>
      </c>
      <c r="J58" s="13">
        <f t="shared" si="83"/>
        <v>9.3484488831914412</v>
      </c>
      <c r="K58" s="13">
        <f t="shared" si="83"/>
        <v>8.7091299281679682</v>
      </c>
      <c r="L58" s="13">
        <f t="shared" si="83"/>
        <v>8.0080175928004245</v>
      </c>
      <c r="M58" s="13">
        <f t="shared" si="83"/>
        <v>7.3613725307631661</v>
      </c>
      <c r="N58" s="13">
        <f t="shared" si="83"/>
        <v>6.807198973588231</v>
      </c>
      <c r="O58" s="13">
        <f t="shared" si="83"/>
        <v>6.3493260277771499</v>
      </c>
      <c r="P58" s="13">
        <f t="shared" si="83"/>
        <v>5.9775373923790607</v>
      </c>
      <c r="Q58" s="13">
        <f t="shared" si="83"/>
        <v>5.6760374106159723</v>
      </c>
      <c r="R58" s="13">
        <f t="shared" si="83"/>
        <v>5.4272811058161716</v>
      </c>
      <c r="S58" s="13">
        <f t="shared" si="83"/>
        <v>5.2138022543817497</v>
      </c>
      <c r="T58" s="12">
        <f t="shared" si="83"/>
        <v>5.018942599868236</v>
      </c>
    </row>
    <row r="59" spans="4:20" x14ac:dyDescent="0.25">
      <c r="E59" s="9">
        <v>1.4</v>
      </c>
      <c r="F59" s="12">
        <f t="shared" ref="F59:T59" si="84">(F33^2+F46^2)^(0.5)</f>
        <v>10.003463389460508</v>
      </c>
      <c r="G59" s="13">
        <f t="shared" si="84"/>
        <v>10.03771140375019</v>
      </c>
      <c r="H59" s="13">
        <f t="shared" si="84"/>
        <v>10.072321189300288</v>
      </c>
      <c r="I59" s="13">
        <f t="shared" si="84"/>
        <v>10.082652356595199</v>
      </c>
      <c r="J59" s="13">
        <f t="shared" si="84"/>
        <v>9.9360347533743063</v>
      </c>
      <c r="K59" s="13">
        <f t="shared" si="84"/>
        <v>8.9760965058201716</v>
      </c>
      <c r="L59" s="13">
        <f t="shared" si="84"/>
        <v>8.0563024581265328</v>
      </c>
      <c r="M59" s="13">
        <f t="shared" si="84"/>
        <v>7.2964932453347568</v>
      </c>
      <c r="N59" s="13">
        <f t="shared" si="84"/>
        <v>6.6944867742183423</v>
      </c>
      <c r="O59" s="13">
        <f t="shared" si="84"/>
        <v>6.2264965958032485</v>
      </c>
      <c r="P59" s="13">
        <f t="shared" si="84"/>
        <v>5.8664832424488118</v>
      </c>
      <c r="Q59" s="13">
        <f t="shared" si="84"/>
        <v>5.5893773829237832</v>
      </c>
      <c r="R59" s="13">
        <f t="shared" si="84"/>
        <v>5.3720686485204636</v>
      </c>
      <c r="S59" s="13">
        <f t="shared" si="84"/>
        <v>5.1940627806656057</v>
      </c>
      <c r="T59" s="12">
        <f t="shared" si="84"/>
        <v>5.0375713149032277</v>
      </c>
    </row>
    <row r="60" spans="4:20" x14ac:dyDescent="0.25">
      <c r="E60" s="9">
        <v>1.2</v>
      </c>
      <c r="F60" s="12">
        <f t="shared" ref="F60:T65" si="85">(F34^2+F47^2)^(0.5)</f>
        <v>10.001568396389853</v>
      </c>
      <c r="G60" s="13">
        <f t="shared" si="85"/>
        <v>10.134050952759839</v>
      </c>
      <c r="H60" s="13">
        <f t="shared" si="85"/>
        <v>10.324215071928634</v>
      </c>
      <c r="I60" s="13">
        <f t="shared" si="85"/>
        <v>10.66475434694755</v>
      </c>
      <c r="J60" s="13">
        <f t="shared" si="85"/>
        <v>11.399983606778438</v>
      </c>
      <c r="K60" s="13">
        <f t="shared" si="85"/>
        <v>9.3340322084457057</v>
      </c>
      <c r="L60" s="13">
        <f t="shared" si="85"/>
        <v>8.0421654646973018</v>
      </c>
      <c r="M60" s="13">
        <f t="shared" si="85"/>
        <v>7.1415586839208816</v>
      </c>
      <c r="N60" s="13">
        <f t="shared" si="85"/>
        <v>6.4945985416473384</v>
      </c>
      <c r="O60" s="13">
        <f t="shared" si="85"/>
        <v>6.0273588754123901</v>
      </c>
      <c r="P60" s="13">
        <f t="shared" si="85"/>
        <v>5.6932307710218781</v>
      </c>
      <c r="Q60" s="13">
        <f t="shared" si="85"/>
        <v>5.4560687680427931</v>
      </c>
      <c r="R60" s="13">
        <f t="shared" si="85"/>
        <v>5.2858815164485282</v>
      </c>
      <c r="S60" s="13">
        <f t="shared" si="85"/>
        <v>5.1585209530567244</v>
      </c>
      <c r="T60" s="12">
        <f t="shared" si="85"/>
        <v>5.0552198928473775</v>
      </c>
    </row>
    <row r="61" spans="4:20" x14ac:dyDescent="0.25">
      <c r="E61" s="9">
        <v>1</v>
      </c>
      <c r="F61" s="12">
        <f t="shared" si="85"/>
        <v>10</v>
      </c>
      <c r="G61" s="12">
        <f t="shared" si="85"/>
        <v>10.177116875718506</v>
      </c>
      <c r="H61" s="12">
        <f t="shared" si="85"/>
        <v>10.44525698092087</v>
      </c>
      <c r="I61" s="12">
        <f t="shared" si="85"/>
        <v>10.970737949940945</v>
      </c>
      <c r="J61" s="12">
        <f t="shared" si="85"/>
        <v>12.622782966498741</v>
      </c>
      <c r="K61" s="13">
        <f t="shared" si="85"/>
        <v>9.5029384121712024</v>
      </c>
      <c r="L61" s="13">
        <f t="shared" si="85"/>
        <v>7.8147985695056388</v>
      </c>
      <c r="M61" s="13">
        <f t="shared" si="85"/>
        <v>6.8275906353865921</v>
      </c>
      <c r="N61" s="13">
        <f t="shared" si="85"/>
        <v>6.1735954548904939</v>
      </c>
      <c r="O61" s="13">
        <f t="shared" si="85"/>
        <v>5.7318530611458947</v>
      </c>
      <c r="P61" s="13">
        <f t="shared" si="85"/>
        <v>5.4451560087779116</v>
      </c>
      <c r="Q61" s="13">
        <f t="shared" si="85"/>
        <v>5.2682940441445902</v>
      </c>
      <c r="R61" s="13">
        <f t="shared" si="85"/>
        <v>5.163397391822822</v>
      </c>
      <c r="S61" s="13">
        <f t="shared" si="85"/>
        <v>5.1022350920791455</v>
      </c>
      <c r="T61" s="12">
        <f t="shared" si="85"/>
        <v>5.0657636297591662</v>
      </c>
    </row>
    <row r="62" spans="4:20" x14ac:dyDescent="0.25">
      <c r="E62" s="9">
        <v>0.8</v>
      </c>
      <c r="F62" s="11"/>
      <c r="G62" s="11"/>
      <c r="H62" s="11"/>
      <c r="I62" s="11"/>
      <c r="J62" s="11"/>
      <c r="K62" s="12">
        <f t="shared" si="85"/>
        <v>8.3148022911411168</v>
      </c>
      <c r="L62" s="13">
        <f t="shared" si="85"/>
        <v>7.1302127716394512</v>
      </c>
      <c r="M62" s="13">
        <f t="shared" si="85"/>
        <v>6.3054239797639795</v>
      </c>
      <c r="N62" s="13">
        <f t="shared" si="85"/>
        <v>5.7146414249477981</v>
      </c>
      <c r="O62" s="13">
        <f t="shared" si="85"/>
        <v>5.3261858877610981</v>
      </c>
      <c r="P62" s="13">
        <f t="shared" si="85"/>
        <v>5.112917740567406</v>
      </c>
      <c r="Q62" s="13">
        <f t="shared" si="85"/>
        <v>5.0218727036741058</v>
      </c>
      <c r="R62" s="13">
        <f t="shared" si="85"/>
        <v>5.0030327978793023</v>
      </c>
      <c r="S62" s="13">
        <f t="shared" si="85"/>
        <v>5.0231873163278271</v>
      </c>
      <c r="T62" s="12">
        <f t="shared" si="85"/>
        <v>5.0646356108480672</v>
      </c>
    </row>
    <row r="63" spans="4:20" x14ac:dyDescent="0.25">
      <c r="E63" s="9">
        <v>0.60000000000000009</v>
      </c>
      <c r="F63" s="11"/>
      <c r="G63" s="11"/>
      <c r="H63" s="11"/>
      <c r="I63" s="11"/>
      <c r="J63" s="11"/>
      <c r="K63" s="11"/>
      <c r="L63" s="12">
        <f t="shared" si="85"/>
        <v>6.4054618761175295</v>
      </c>
      <c r="M63" s="13">
        <f t="shared" si="85"/>
        <v>5.6807738123648202</v>
      </c>
      <c r="N63" s="13">
        <f t="shared" si="85"/>
        <v>5.1423309223122393</v>
      </c>
      <c r="O63" s="13">
        <f t="shared" si="85"/>
        <v>4.8023717121263001</v>
      </c>
      <c r="P63" s="13">
        <f t="shared" si="85"/>
        <v>4.6916029006964992</v>
      </c>
      <c r="Q63" s="13">
        <f t="shared" si="85"/>
        <v>4.7204457759673719</v>
      </c>
      <c r="R63" s="13">
        <f t="shared" si="85"/>
        <v>4.8112604216463257</v>
      </c>
      <c r="S63" s="13">
        <f t="shared" si="85"/>
        <v>4.9255056339341383</v>
      </c>
      <c r="T63" s="12">
        <f t="shared" si="85"/>
        <v>5.0509519455563678</v>
      </c>
    </row>
    <row r="64" spans="4:20" x14ac:dyDescent="0.25">
      <c r="E64" s="9">
        <v>0.4</v>
      </c>
      <c r="F64" s="11"/>
      <c r="G64" s="11"/>
      <c r="H64" s="11"/>
      <c r="I64" s="11"/>
      <c r="J64" s="11"/>
      <c r="K64" s="11"/>
      <c r="L64" s="11"/>
      <c r="M64" s="12">
        <f t="shared" si="85"/>
        <v>5.0809037606065397</v>
      </c>
      <c r="N64" s="13">
        <f t="shared" si="85"/>
        <v>4.4816736603629437</v>
      </c>
      <c r="O64" s="13">
        <f t="shared" si="85"/>
        <v>4.1287116295344761</v>
      </c>
      <c r="P64" s="13">
        <f t="shared" si="85"/>
        <v>4.1802354320636823</v>
      </c>
      <c r="Q64" s="13">
        <f t="shared" si="85"/>
        <v>4.3839091794985263</v>
      </c>
      <c r="R64" s="13">
        <f t="shared" si="85"/>
        <v>4.6090561220812818</v>
      </c>
      <c r="S64" s="13">
        <f t="shared" si="85"/>
        <v>4.8229000617222928</v>
      </c>
      <c r="T64" s="12">
        <f t="shared" si="85"/>
        <v>5.0291045629233881</v>
      </c>
    </row>
    <row r="65" spans="5:20" x14ac:dyDescent="0.25">
      <c r="E65" s="9">
        <v>0.2</v>
      </c>
      <c r="F65" s="11"/>
      <c r="G65" s="11"/>
      <c r="H65" s="11"/>
      <c r="I65" s="11"/>
      <c r="J65" s="11"/>
      <c r="K65" s="11"/>
      <c r="L65" s="11"/>
      <c r="M65" s="11"/>
      <c r="N65" s="12">
        <f t="shared" si="85"/>
        <v>3.8258035182010457</v>
      </c>
      <c r="O65" s="13">
        <f>(O39^2+O52^2)^(0.5)</f>
        <v>3.1816948366548328</v>
      </c>
      <c r="P65" s="13">
        <f>(P39^2+P52^2)^(0.5)</f>
        <v>3.6103766059486113</v>
      </c>
      <c r="Q65" s="13">
        <f>(Q39^2+Q52^2)^(0.5)</f>
        <v>4.0725730637758426</v>
      </c>
      <c r="R65" s="13">
        <f>(R39^2+R52^2)^(0.5)</f>
        <v>4.4404154359344989</v>
      </c>
      <c r="S65" s="13">
        <f>(S39^2+S52^2)^(0.5)</f>
        <v>4.7402981168693987</v>
      </c>
      <c r="T65" s="12">
        <f>(T39^2+T52^2)^(0.5)</f>
        <v>5.0085329252858859</v>
      </c>
    </row>
    <row r="66" spans="5:20" x14ac:dyDescent="0.25">
      <c r="E66" s="9">
        <v>0</v>
      </c>
      <c r="F66" s="11"/>
      <c r="G66" s="11"/>
      <c r="H66" s="11"/>
      <c r="I66" s="11"/>
      <c r="J66" s="11"/>
      <c r="K66" s="11"/>
      <c r="L66" s="11"/>
      <c r="M66" s="11"/>
      <c r="N66" s="11"/>
      <c r="O66" s="12">
        <f>(O40^2+O53^2)^(0.5)</f>
        <v>2.1832321413793334</v>
      </c>
      <c r="P66" s="12">
        <f>(P40^2+P53^2)^(0.5)</f>
        <v>3.2800235617569942</v>
      </c>
      <c r="Q66" s="12">
        <f>(Q40^2+Q53^2)^(0.5)</f>
        <v>3.9307642264347868</v>
      </c>
      <c r="R66" s="12">
        <f>(R40^2+R53^2)^(0.5)</f>
        <v>4.3713257263338035</v>
      </c>
      <c r="S66" s="12">
        <f>(S40^2+S53^2)^(0.5)</f>
        <v>4.7077636852258209</v>
      </c>
      <c r="T66" s="12">
        <f>(T40^2+T53^2)^(0.5)</f>
        <v>5</v>
      </c>
    </row>
    <row r="67" spans="5:20" x14ac:dyDescent="0.25">
      <c r="E67" s="11"/>
      <c r="F67" s="9">
        <v>0</v>
      </c>
      <c r="G67" s="9">
        <v>0.2</v>
      </c>
      <c r="H67" s="9">
        <v>0.4</v>
      </c>
      <c r="I67" s="9">
        <v>0.60000000000000009</v>
      </c>
      <c r="J67" s="9">
        <v>0.8</v>
      </c>
      <c r="K67" s="9">
        <v>1</v>
      </c>
      <c r="L67" s="9">
        <v>1.2</v>
      </c>
      <c r="M67" s="9">
        <v>1.4</v>
      </c>
      <c r="N67" s="9">
        <v>1.5999999999999999</v>
      </c>
      <c r="O67" s="9">
        <v>1.7999999999999998</v>
      </c>
      <c r="P67" s="9">
        <v>1.9999999999999998</v>
      </c>
      <c r="Q67" s="9">
        <v>2.1999999999999997</v>
      </c>
      <c r="R67" s="9">
        <v>2.4</v>
      </c>
      <c r="S67" s="9">
        <v>2.6</v>
      </c>
      <c r="T67" s="9">
        <v>2.8000000000000003</v>
      </c>
    </row>
  </sheetData>
  <conditionalFormatting sqref="O27:T27 N26:T26 M25:T25 L24:T24 K23:T23 F17:T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Frazer</dc:creator>
  <cp:lastModifiedBy>Алексей Якимов</cp:lastModifiedBy>
  <dcterms:created xsi:type="dcterms:W3CDTF">2021-11-15T10:06:51Z</dcterms:created>
  <dcterms:modified xsi:type="dcterms:W3CDTF">2021-11-15T11:56:32Z</dcterms:modified>
</cp:coreProperties>
</file>